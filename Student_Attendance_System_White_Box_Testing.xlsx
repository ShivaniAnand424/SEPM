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1_AttendancePct" sheetId="2" state="visible" r:id="rId4"/>
    <sheet name="M2_Eligibility" sheetId="3" state="visible" r:id="rId5"/>
    <sheet name="M3_Marking" sheetId="4" state="visible" r:id="rId6"/>
    <sheet name="M4_Ale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<sst xmlns="http://schemas.openxmlformats.org/spreadsheetml/2006/main" count="982" uniqueCount="394">
  <si>
    <t xml:space="preserve">Case Study: Student Attendance Management System – White Box Testing</t>
  </si>
  <si>
    <t xml:space="preserve">Basis path testing with control flow graphs on four core modules. Each module sheet holds its code, CFG, V(G), basis paths, test cases and coverage.</t>
  </si>
  <si>
    <t xml:space="preserve">1. Modules under test and business rules (assumed)</t>
  </si>
  <si>
    <t xml:space="preserve">#</t>
  </si>
  <si>
    <t xml:space="preserve">Module</t>
  </si>
  <si>
    <t xml:space="preserve">Purpose</t>
  </si>
  <si>
    <t xml:space="preserve">Business rules</t>
  </si>
  <si>
    <t xml:space="preserve">M1 Attendance Percentage</t>
  </si>
  <si>
    <t xml:space="preserve">Computes a student's attendance percentage for a subject.</t>
  </si>
  <si>
    <t xml:space="preserve">Percentage = (classes attended + approved medical-leave days) ÷ total classes × 100, capped at 100. Total classes must be &gt; 0, otherwise INVALID.</t>
  </si>
  <si>
    <t xml:space="preserve">M2 Exam Eligibility</t>
  </si>
  <si>
    <t xml:space="preserve">Decides whether a student may appear in the exam.</t>
  </si>
  <si>
    <t xml:space="preserve">75% or more: ELIGIBLE. 65% to below 75%: CONDONED if condonation is approved, else DETAINED. Below 65%: DETAINED.</t>
  </si>
  <si>
    <t xml:space="preserve">M3 Attendance Marking</t>
  </si>
  <si>
    <t xml:space="preserve">Totals one student's attendance from a list of daily status codes.</t>
  </si>
  <si>
    <t xml:space="preserve">P (present) = 1, L (late) = 0.5, any other code (A, absent) = 0.</t>
  </si>
  <si>
    <t xml:space="preserve">M4 Attendance Alert</t>
  </si>
  <si>
    <t xml:space="preserve">Chooses the alert sent for a student at the end of the day.</t>
  </si>
  <si>
    <t xml:space="preserve">Checks in order: already alerted today, attendance ≥ 75%, 5+ consecutive absences, guardian contact on file.</t>
  </si>
  <si>
    <t xml:space="preserve">2. Results (linked to the module sheets)</t>
  </si>
  <si>
    <t xml:space="preserve">Function</t>
  </si>
  <si>
    <t xml:space="preserve">Nodes</t>
  </si>
  <si>
    <t xml:space="preserve">Edges</t>
  </si>
  <si>
    <t xml:space="preserve">Decisions</t>
  </si>
  <si>
    <t xml:space="preserve">V(G)</t>
  </si>
  <si>
    <t xml:space="preserve">Basis paths</t>
  </si>
  <si>
    <t xml:space="preserve">Infeasible</t>
  </si>
  <si>
    <t xml:space="preserve">Tests</t>
  </si>
  <si>
    <t xml:space="preserve">Passed</t>
  </si>
  <si>
    <t xml:space="preserve">Statement cov.</t>
  </si>
  <si>
    <t xml:space="preserve">Branch cov.</t>
  </si>
  <si>
    <t xml:space="preserve">Edge cov.</t>
  </si>
  <si>
    <t xml:space="preserve">Attendance Percentage</t>
  </si>
  <si>
    <t xml:space="preserve">attendance_percentage(total, present, medical)</t>
  </si>
  <si>
    <t xml:space="preserve">Exam Eligibility</t>
  </si>
  <si>
    <t xml:space="preserve">exam_eligibility(pct, condonation)</t>
  </si>
  <si>
    <t xml:space="preserve">Attendance Marking</t>
  </si>
  <si>
    <t xml:space="preserve">count_attendance(statuses)</t>
  </si>
  <si>
    <t xml:space="preserve">Attendance Alert</t>
  </si>
  <si>
    <t xml:space="preserve">attendance_alert(alerted_today, pct, absent_run, guardian)</t>
  </si>
  <si>
    <t xml:space="preserve">Total</t>
  </si>
  <si>
    <t xml:space="preserve">3. Key points</t>
  </si>
  <si>
    <t xml:space="preserve">• V(G) = E − N + 2 = decisions + 1. It is the minimum number of test cases needed to cover every independent path of a module.</t>
  </si>
  <si>
    <t xml:space="preserve">• Each module's basis set is built from a baseline path by flipping one decision at a time; supplementary and boundary tests are added on top.</t>
  </si>
  <si>
    <t xml:space="preserve">• Coverage = share of nodes (statement), T/F branches (decision) and edges that the suite's paths traverse. It recalculates if a test case is edited.</t>
  </si>
  <si>
    <t xml:space="preserve">• Actual outputs were obtained by running a Python implementation of each module, and each test's path was checked against its recorded node sequence. Yellow cells with blue text are editable inputs.</t>
  </si>
  <si>
    <t xml:space="preserve">Module 1: Attendance Percentage</t>
  </si>
  <si>
    <t xml:space="preserve">Module under test: attendance_percentage(total, present, medical)   |   Technique: basis path testing with control flow graph</t>
  </si>
  <si>
    <t xml:space="preserve">Rules (assumed): percentage = (classes attended + approved medical-leave days) ÷ total classes × 100, capped at 100. Total classes must be greater than 0.</t>
  </si>
  <si>
    <t xml:space="preserve">Returns the percentage rounded to 1 decimal place, or INVALID.</t>
  </si>
  <si>
    <t xml:space="preserve">Features tested: early return on invalid data, two independent if-assignments (join nodes), capping of over-counted attendance, final computed return.</t>
  </si>
  <si>
    <t xml:space="preserve">1. Source code with CFG node mapping</t>
  </si>
  <si>
    <t xml:space="preserve">Line</t>
  </si>
  <si>
    <t xml:space="preserve">Source code</t>
  </si>
  <si>
    <t xml:space="preserve">Node</t>
  </si>
  <si>
    <t xml:space="preserve">def attendance_percentage(total, present, medical):</t>
  </si>
  <si>
    <t xml:space="preserve">-</t>
  </si>
  <si>
    <t xml:space="preserve">    if total &lt;= 0:</t>
  </si>
  <si>
    <t xml:space="preserve">N1</t>
  </si>
  <si>
    <t xml:space="preserve">        return 'INVALID'</t>
  </si>
  <si>
    <t xml:space="preserve">N2</t>
  </si>
  <si>
    <t xml:space="preserve">    if medical &gt; 0:</t>
  </si>
  <si>
    <t xml:space="preserve">N3</t>
  </si>
  <si>
    <t xml:space="preserve">        present = present + medical</t>
  </si>
  <si>
    <t xml:space="preserve">N4</t>
  </si>
  <si>
    <t xml:space="preserve">    if present &gt; total:</t>
  </si>
  <si>
    <t xml:space="preserve">N5</t>
  </si>
  <si>
    <t xml:space="preserve">        present = total</t>
  </si>
  <si>
    <t xml:space="preserve">N6</t>
  </si>
  <si>
    <t xml:space="preserve">    return round(present * 100 / total, 1)</t>
  </si>
  <si>
    <t xml:space="preserve">N7</t>
  </si>
  <si>
    <t xml:space="preserve">2. Control flow graph – node table and edge table</t>
  </si>
  <si>
    <t xml:space="preserve">Statement</t>
  </si>
  <si>
    <t xml:space="preserve">Type</t>
  </si>
  <si>
    <t xml:space="preserve">Out-deg</t>
  </si>
  <si>
    <t xml:space="preserve">In-deg</t>
  </si>
  <si>
    <t xml:space="preserve">Edge</t>
  </si>
  <si>
    <t xml:space="preserve">From</t>
  </si>
  <si>
    <t xml:space="preserve">To</t>
  </si>
  <si>
    <t xml:space="preserve">Label</t>
  </si>
  <si>
    <t xml:space="preserve">Description</t>
  </si>
  <si>
    <t xml:space="preserve">if total &lt;= 0</t>
  </si>
  <si>
    <t xml:space="preserve">Decision</t>
  </si>
  <si>
    <t xml:space="preserve">E1</t>
  </si>
  <si>
    <t xml:space="preserve">T</t>
  </si>
  <si>
    <t xml:space="preserve">no classes held</t>
  </si>
  <si>
    <t xml:space="preserve">return 'INVALID'</t>
  </si>
  <si>
    <t xml:space="preserve">Process</t>
  </si>
  <si>
    <t xml:space="preserve">E2</t>
  </si>
  <si>
    <t xml:space="preserve">F</t>
  </si>
  <si>
    <t xml:space="preserve">valid total</t>
  </si>
  <si>
    <t xml:space="preserve">if medical &gt; 0</t>
  </si>
  <si>
    <t xml:space="preserve">E3</t>
  </si>
  <si>
    <t xml:space="preserve">medical leave approved</t>
  </si>
  <si>
    <t xml:space="preserve">present = present + medical</t>
  </si>
  <si>
    <t xml:space="preserve">E4</t>
  </si>
  <si>
    <t xml:space="preserve">no medical leave</t>
  </si>
  <si>
    <t xml:space="preserve">if present &gt; total</t>
  </si>
  <si>
    <t xml:space="preserve">E5</t>
  </si>
  <si>
    <t xml:space="preserve">leave added</t>
  </si>
  <si>
    <t xml:space="preserve">present = total</t>
  </si>
  <si>
    <t xml:space="preserve">E6</t>
  </si>
  <si>
    <t xml:space="preserve">over-counted (cap)</t>
  </si>
  <si>
    <t xml:space="preserve">return round(present*100/total, 1)</t>
  </si>
  <si>
    <t xml:space="preserve">E7</t>
  </si>
  <si>
    <t xml:space="preserve">within total</t>
  </si>
  <si>
    <t xml:space="preserve">exit</t>
  </si>
  <si>
    <t xml:space="preserve">Exit</t>
  </si>
  <si>
    <t xml:space="preserve">E8</t>
  </si>
  <si>
    <t xml:space="preserve">capped</t>
  </si>
  <si>
    <t xml:space="preserve">E9</t>
  </si>
  <si>
    <t xml:space="preserve">E10</t>
  </si>
  <si>
    <t xml:space="preserve">3. Cyclomatic complexity V(G)</t>
  </si>
  <si>
    <t xml:space="preserve">Parameter</t>
  </si>
  <si>
    <t xml:space="preserve">Formula / source</t>
  </si>
  <si>
    <t xml:space="preserve">Value</t>
  </si>
  <si>
    <t xml:space="preserve">Nodes (N)</t>
  </si>
  <si>
    <t xml:space="preserve">count of node table</t>
  </si>
  <si>
    <t xml:space="preserve">Edges (E)</t>
  </si>
  <si>
    <t xml:space="preserve">count of edge table</t>
  </si>
  <si>
    <t xml:space="preserve">Decision nodes (P)</t>
  </si>
  <si>
    <t xml:space="preserve">nodes of type Decision</t>
  </si>
  <si>
    <t xml:space="preserve">V(G) – method 1</t>
  </si>
  <si>
    <t xml:space="preserve">E − N + 2</t>
  </si>
  <si>
    <t xml:space="preserve">V(G) – method 2</t>
  </si>
  <si>
    <t xml:space="preserve">P + 1</t>
  </si>
  <si>
    <t xml:space="preserve">Methods agree?</t>
  </si>
  <si>
    <t xml:space="preserve">method 1 = method 2</t>
  </si>
  <si>
    <t xml:space="preserve">Cyclomatic complexity V(G)</t>
  </si>
  <si>
    <t xml:space="preserve">minimum number of tests required</t>
  </si>
  <si>
    <t xml:space="preserve">Rating</t>
  </si>
  <si>
    <t xml:space="preserve">1-10 simple, 11-20 moderate, 21-50 complex, &gt;50 unstable</t>
  </si>
  <si>
    <t xml:space="preserve">4. Independent (basis) paths – baseline path, then flip one decision at a time</t>
  </si>
  <si>
    <t xml:space="preserve">Path</t>
  </si>
  <si>
    <t xml:space="preserve">Derivation</t>
  </si>
  <si>
    <t xml:space="preserve">Feasible?</t>
  </si>
  <si>
    <t xml:space="preserve">Node sequence</t>
  </si>
  <si>
    <t xml:space="preserve">Notes</t>
  </si>
  <si>
    <t xml:space="preserve">P1</t>
  </si>
  <si>
    <t xml:space="preserve">Baseline: valid total, no medical leave, within total</t>
  </si>
  <si>
    <t xml:space="preserve">Basis</t>
  </si>
  <si>
    <t xml:space="preserve">Yes</t>
  </si>
  <si>
    <t xml:space="preserve">1-3-5-7-8</t>
  </si>
  <si>
    <t xml:space="preserve">P2</t>
  </si>
  <si>
    <t xml:space="preserve">Flip N1: total classes = 0</t>
  </si>
  <si>
    <t xml:space="preserve">1-2-8</t>
  </si>
  <si>
    <t xml:space="preserve">P3</t>
  </si>
  <si>
    <t xml:space="preserve">Flip N3: medical leave added</t>
  </si>
  <si>
    <t xml:space="preserve">1-3-4-5-7-8</t>
  </si>
  <si>
    <t xml:space="preserve">P4</t>
  </si>
  <si>
    <t xml:space="preserve">Flip N5: present exceeds total, capped</t>
  </si>
  <si>
    <t xml:space="preserve">1-3-5-6-7-8</t>
  </si>
  <si>
    <t xml:space="preserve">P5</t>
  </si>
  <si>
    <t xml:space="preserve">Medical leave added and capped</t>
  </si>
  <si>
    <t xml:space="preserve">Supplementary</t>
  </si>
  <si>
    <t xml:space="preserve">1-3-4-5-6-7-8</t>
  </si>
  <si>
    <t xml:space="preserve">Combination not in basis set</t>
  </si>
  <si>
    <t xml:space="preserve">Basis paths identified</t>
  </si>
  <si>
    <t xml:space="preserve">Infeasible paths</t>
  </si>
  <si>
    <t xml:space="preserve">5. Test cases (yellow / blue = editable inputs; Actual output obtained by running the code)</t>
  </si>
  <si>
    <t xml:space="preserve">TC ID</t>
  </si>
  <si>
    <t xml:space="preserve">Test objective</t>
  </si>
  <si>
    <t xml:space="preserve">Input</t>
  </si>
  <si>
    <t xml:space="preserve">Expected</t>
  </si>
  <si>
    <t xml:space="preserve">Actual</t>
  </si>
  <si>
    <t xml:space="preserve">Status</t>
  </si>
  <si>
    <t xml:space="preserve">Path nodes (lookup)</t>
  </si>
  <si>
    <t xml:space="preserve">TC01</t>
  </si>
  <si>
    <t xml:space="preserve">Normal: 30 of 40 classes</t>
  </si>
  <si>
    <t xml:space="preserve">total=40, present=30, medical=0</t>
  </si>
  <si>
    <t xml:space="preserve">TC02</t>
  </si>
  <si>
    <t xml:space="preserve">No classes held</t>
  </si>
  <si>
    <t xml:space="preserve">total=0, present=0, medical=0</t>
  </si>
  <si>
    <t xml:space="preserve">INVALID</t>
  </si>
  <si>
    <t xml:space="preserve">TC03</t>
  </si>
  <si>
    <t xml:space="preserve">Medical leave of 2 days added</t>
  </si>
  <si>
    <t xml:space="preserve">total=40, present=28, medical=2</t>
  </si>
  <si>
    <t xml:space="preserve">TC04</t>
  </si>
  <si>
    <t xml:space="preserve">Over-count capped at 100%</t>
  </si>
  <si>
    <t xml:space="preserve">total=30, present=32, medical=0</t>
  </si>
  <si>
    <t xml:space="preserve">TC05</t>
  </si>
  <si>
    <t xml:space="preserve">Medical leave pushes above total</t>
  </si>
  <si>
    <t xml:space="preserve">total=30, present=29, medical=3</t>
  </si>
  <si>
    <t xml:space="preserve">TC06</t>
  </si>
  <si>
    <t xml:space="preserve">Boundary: total = 1, absent</t>
  </si>
  <si>
    <t xml:space="preserve">total=1, present=0, medical=0</t>
  </si>
  <si>
    <t xml:space="preserve">TC07</t>
  </si>
  <si>
    <t xml:space="preserve">Boundary: present = total</t>
  </si>
  <si>
    <t xml:space="preserve">total=50, present=50, medical=0</t>
  </si>
  <si>
    <t xml:space="preserve">TC08</t>
  </si>
  <si>
    <t xml:space="preserve">Boundary: present = total + 1</t>
  </si>
  <si>
    <t xml:space="preserve">total=50, present=51, medical=0</t>
  </si>
  <si>
    <t xml:space="preserve">6. Coverage (1 = node / edge traversed by the test's path)</t>
  </si>
  <si>
    <t xml:space="preserve">Hits</t>
  </si>
  <si>
    <t xml:space="preserve">7. Coverage results</t>
  </si>
  <si>
    <t xml:space="preserve">Statement (node) coverage</t>
  </si>
  <si>
    <t xml:space="preserve">Branch (decision) coverage</t>
  </si>
  <si>
    <t xml:space="preserve">Edge (path) coverage</t>
  </si>
  <si>
    <t xml:space="preserve">Tests passed</t>
  </si>
  <si>
    <t xml:space="preserve">Module 2: Exam Eligibility</t>
  </si>
  <si>
    <t xml:space="preserve">Module under test: exam_eligibility(pct, condonation)   |   Technique: basis path testing with control flow graph</t>
  </si>
  <si>
    <t xml:space="preserve">Rules (assumed): 75% or more is ELIGIBLE. From 65% up to 75% the student is CONDONED when condonation is approved, otherwise DETAINED. Below 65% is always DETAINED.</t>
  </si>
  <si>
    <t xml:space="preserve">Returns ELIGIBLE, CONDONED or DETAINED.</t>
  </si>
  <si>
    <t xml:space="preserve">Features tested: sequential decisions with early returns, boundary values at 75 and 65, two separate nodes returning DETAINED.</t>
  </si>
  <si>
    <t xml:space="preserve">def exam_eligibility(pct, condonation):</t>
  </si>
  <si>
    <t xml:space="preserve">    if pct &gt;= 75:</t>
  </si>
  <si>
    <t xml:space="preserve">        return 'ELIGIBLE'</t>
  </si>
  <si>
    <t xml:space="preserve">    if pct &lt; 65:</t>
  </si>
  <si>
    <t xml:space="preserve">        return 'DETAINED'</t>
  </si>
  <si>
    <t xml:space="preserve">    if condonation:</t>
  </si>
  <si>
    <t xml:space="preserve">        return 'CONDONED'</t>
  </si>
  <si>
    <t xml:space="preserve">    return 'DETAINED'</t>
  </si>
  <si>
    <t xml:space="preserve">if pct &gt;= 75</t>
  </si>
  <si>
    <t xml:space="preserve">meets 75%</t>
  </si>
  <si>
    <t xml:space="preserve">return 'ELIGIBLE'</t>
  </si>
  <si>
    <t xml:space="preserve">below 75%</t>
  </si>
  <si>
    <t xml:space="preserve">if pct &lt; 65</t>
  </si>
  <si>
    <t xml:space="preserve">below 65%</t>
  </si>
  <si>
    <t xml:space="preserve">return 'DETAINED' (below 65)</t>
  </si>
  <si>
    <t xml:space="preserve">65% to below 75%</t>
  </si>
  <si>
    <t xml:space="preserve">if condonation</t>
  </si>
  <si>
    <t xml:space="preserve">condonation approved</t>
  </si>
  <si>
    <t xml:space="preserve">return 'CONDONED'</t>
  </si>
  <si>
    <t xml:space="preserve">no condonation</t>
  </si>
  <si>
    <t xml:space="preserve">return 'DETAINED' (not condoned)</t>
  </si>
  <si>
    <t xml:space="preserve">Baseline: 65-75%, no condonation</t>
  </si>
  <si>
    <t xml:space="preserve">Flip N1: 75% or more</t>
  </si>
  <si>
    <t xml:space="preserve">Flip N3: below 65%</t>
  </si>
  <si>
    <t xml:space="preserve">1-3-4-8</t>
  </si>
  <si>
    <t xml:space="preserve">Flip N5: condonation approved</t>
  </si>
  <si>
    <t xml:space="preserve">1-3-5-6-8</t>
  </si>
  <si>
    <t xml:space="preserve">70%, no condonation</t>
  </si>
  <si>
    <t xml:space="preserve">pct=70, condonation=No</t>
  </si>
  <si>
    <t xml:space="preserve">DETAINED</t>
  </si>
  <si>
    <t xml:space="preserve">82%, regular eligible</t>
  </si>
  <si>
    <t xml:space="preserve">pct=82, condonation=No</t>
  </si>
  <si>
    <t xml:space="preserve">ELIGIBLE</t>
  </si>
  <si>
    <t xml:space="preserve">55%, no condonation</t>
  </si>
  <si>
    <t xml:space="preserve">pct=55, condonation=No</t>
  </si>
  <si>
    <t xml:space="preserve">70% with condonation</t>
  </si>
  <si>
    <t xml:space="preserve">pct=70, condonation=Yes</t>
  </si>
  <si>
    <t xml:space="preserve">CONDONED</t>
  </si>
  <si>
    <t xml:space="preserve">55% with condonation: cannot rescue</t>
  </si>
  <si>
    <t xml:space="preserve">pct=55, condonation=Yes</t>
  </si>
  <si>
    <t xml:space="preserve">Boundary: exactly 75%</t>
  </si>
  <si>
    <t xml:space="preserve">pct=75, condonation=No</t>
  </si>
  <si>
    <t xml:space="preserve">Boundary: 74.9%, no condonation</t>
  </si>
  <si>
    <t xml:space="preserve">pct=74.9, condonation=No</t>
  </si>
  <si>
    <t xml:space="preserve">Boundary: exactly 65% condoned</t>
  </si>
  <si>
    <t xml:space="preserve">pct=65, condonation=Yes</t>
  </si>
  <si>
    <t xml:space="preserve">TC09</t>
  </si>
  <si>
    <t xml:space="preserve">Boundary: 64.9% with condonation</t>
  </si>
  <si>
    <t xml:space="preserve">pct=64.9, condonation=Yes</t>
  </si>
  <si>
    <t xml:space="preserve">Module 3: Attendance Marking</t>
  </si>
  <si>
    <t xml:space="preserve">Module under test: count_attendance(statuses)   |   Technique: basis path testing with control flow graph</t>
  </si>
  <si>
    <t xml:space="preserve">Rules (assumed): each status code is P (present) = 1 credit, L (late) = 0.5 credit, anything else (A, absent) = 0.</t>
  </si>
  <si>
    <t xml:space="preserve">Returns the total credit as a number.</t>
  </si>
  <si>
    <t xml:space="preserve">Features tested: loop, if / elif chain inside the loop, join node (i += 1), empty-list path.</t>
  </si>
  <si>
    <t xml:space="preserve">def count_attendance(statuses):</t>
  </si>
  <si>
    <t xml:space="preserve">    present = 0</t>
  </si>
  <si>
    <t xml:space="preserve">    i = 0</t>
  </si>
  <si>
    <t xml:space="preserve">    while i &lt; len(statuses):</t>
  </si>
  <si>
    <t xml:space="preserve">        s = statuses[i]</t>
  </si>
  <si>
    <t xml:space="preserve">        if s == 'P':</t>
  </si>
  <si>
    <t xml:space="preserve">            present += 1</t>
  </si>
  <si>
    <t xml:space="preserve">        elif s == 'L':</t>
  </si>
  <si>
    <t xml:space="preserve">            present += 0.5</t>
  </si>
  <si>
    <t xml:space="preserve">        i += 1</t>
  </si>
  <si>
    <t xml:space="preserve">    return present</t>
  </si>
  <si>
    <t xml:space="preserve">N8</t>
  </si>
  <si>
    <t xml:space="preserve">present = 0; i = 0</t>
  </si>
  <si>
    <t xml:space="preserve">Start</t>
  </si>
  <si>
    <t xml:space="preserve">init → loop test</t>
  </si>
  <si>
    <t xml:space="preserve">while i &lt; len(statuses)</t>
  </si>
  <si>
    <t xml:space="preserve">status left to read</t>
  </si>
  <si>
    <t xml:space="preserve">s = statuses[i]; s == 'P' ?</t>
  </si>
  <si>
    <t xml:space="preserve">all statuses read</t>
  </si>
  <si>
    <t xml:space="preserve">present += 1</t>
  </si>
  <si>
    <t xml:space="preserve">present</t>
  </si>
  <si>
    <t xml:space="preserve">s == 'L' ?</t>
  </si>
  <si>
    <t xml:space="preserve">not present</t>
  </si>
  <si>
    <t xml:space="preserve">present += 0.5</t>
  </si>
  <si>
    <t xml:space="preserve">to next status</t>
  </si>
  <si>
    <t xml:space="preserve">i += 1 (join)</t>
  </si>
  <si>
    <t xml:space="preserve">late</t>
  </si>
  <si>
    <t xml:space="preserve">return present</t>
  </si>
  <si>
    <t xml:space="preserve">absent</t>
  </si>
  <si>
    <t xml:space="preserve">loop back-edge</t>
  </si>
  <si>
    <t xml:space="preserve">E11</t>
  </si>
  <si>
    <t xml:space="preserve">Baseline: one status, present</t>
  </si>
  <si>
    <t xml:space="preserve">1-2-3-4-7-2-8-9</t>
  </si>
  <si>
    <t xml:space="preserve">Single status</t>
  </si>
  <si>
    <t xml:space="preserve">Flip N2: no statuses</t>
  </si>
  <si>
    <t xml:space="preserve">1-2-8-9</t>
  </si>
  <si>
    <t xml:space="preserve">Empty list</t>
  </si>
  <si>
    <t xml:space="preserve">Flip N3: status is not P, absent</t>
  </si>
  <si>
    <t xml:space="preserve">1-2-3-5-7-2-8-9</t>
  </si>
  <si>
    <t xml:space="preserve">Flip N5: status is L</t>
  </si>
  <si>
    <t xml:space="preserve">1-2-3-5-6-7-2-8-9</t>
  </si>
  <si>
    <t xml:space="preserve">P, then L, then A</t>
  </si>
  <si>
    <t xml:space="preserve">1-2-3-4-7-2-3-5-6-7-2-3-5-7-2-8-9</t>
  </si>
  <si>
    <t xml:space="preserve">Loop three times</t>
  </si>
  <si>
    <t xml:space="preserve">P6</t>
  </si>
  <si>
    <t xml:space="preserve">P, then P</t>
  </si>
  <si>
    <t xml:space="preserve">1-2-3-4-7-2-3-4-7-2-8-9</t>
  </si>
  <si>
    <t xml:space="preserve">Loop twice</t>
  </si>
  <si>
    <t xml:space="preserve">P7</t>
  </si>
  <si>
    <t xml:space="preserve">L, then P</t>
  </si>
  <si>
    <t xml:space="preserve">1-2-3-5-6-7-2-3-4-7-2-8-9</t>
  </si>
  <si>
    <t xml:space="preserve">P8</t>
  </si>
  <si>
    <t xml:space="preserve">P, then A</t>
  </si>
  <si>
    <t xml:space="preserve">1-2-3-4-7-2-3-5-7-2-8-9</t>
  </si>
  <si>
    <t xml:space="preserve">Single present</t>
  </si>
  <si>
    <t xml:space="preserve">statuses=[P]</t>
  </si>
  <si>
    <t xml:space="preserve">No statuses recorded</t>
  </si>
  <si>
    <t xml:space="preserve">statuses=[]</t>
  </si>
  <si>
    <t xml:space="preserve">Single absent</t>
  </si>
  <si>
    <t xml:space="preserve">statuses=[A]</t>
  </si>
  <si>
    <t xml:space="preserve">Single late</t>
  </si>
  <si>
    <t xml:space="preserve">statuses=[L]</t>
  </si>
  <si>
    <t xml:space="preserve">Mixed P, L, A</t>
  </si>
  <si>
    <t xml:space="preserve">statuses=[P, L, A]</t>
  </si>
  <si>
    <t xml:space="preserve">Two present</t>
  </si>
  <si>
    <t xml:space="preserve">statuses=[P, P]</t>
  </si>
  <si>
    <t xml:space="preserve">Late then present</t>
  </si>
  <si>
    <t xml:space="preserve">statuses=[L, P]</t>
  </si>
  <si>
    <t xml:space="preserve">Present then absent</t>
  </si>
  <si>
    <t xml:space="preserve">statuses=[P, A]</t>
  </si>
  <si>
    <t xml:space="preserve">Module 4: Attendance Alert</t>
  </si>
  <si>
    <t xml:space="preserve">Module under test: attendance_alert(alerted_today, pct, absent_run, guardian)   |   Technique: basis path testing with control flow graph</t>
  </si>
  <si>
    <t xml:space="preserve">Rules (assumed): checks run in strict order: already alerted today, attendance at least 75%, five or more consecutive absences, guardian contact on file.</t>
  </si>
  <si>
    <t xml:space="preserve">Returns SKIP_DUPLICATE, NO_ALERT, ESCALATE_TO_HOD, NOTIFY_STUDENT or NOTIFY_GUARDIAN (assumed alert names).</t>
  </si>
  <si>
    <t xml:space="preserve">Features tested: sequential decisions where an earlier check overrides later conditions, boundary values at 75% and 5 absences.</t>
  </si>
  <si>
    <t xml:space="preserve">def attendance_alert(alerted_today, pct, absent_run, guardian):</t>
  </si>
  <si>
    <t xml:space="preserve">    if alerted_today:</t>
  </si>
  <si>
    <t xml:space="preserve">        return 'SKIP_DUPLICATE'</t>
  </si>
  <si>
    <t xml:space="preserve">        return 'NO_ALERT'</t>
  </si>
  <si>
    <t xml:space="preserve">    if absent_run &gt;= 5:</t>
  </si>
  <si>
    <t xml:space="preserve">        return 'ESCALATE_TO_HOD'</t>
  </si>
  <si>
    <t xml:space="preserve">    if not guardian:</t>
  </si>
  <si>
    <t xml:space="preserve">        return 'NOTIFY_STUDENT'</t>
  </si>
  <si>
    <t xml:space="preserve">    return 'NOTIFY_GUARDIAN'</t>
  </si>
  <si>
    <t xml:space="preserve">N9</t>
  </si>
  <si>
    <t xml:space="preserve">if alerted_today</t>
  </si>
  <si>
    <t xml:space="preserve">already alerted today</t>
  </si>
  <si>
    <t xml:space="preserve">return SKIP_DUPLICATE</t>
  </si>
  <si>
    <t xml:space="preserve">not yet alerted</t>
  </si>
  <si>
    <t xml:space="preserve">attendance ok</t>
  </si>
  <si>
    <t xml:space="preserve">return NO_ALERT</t>
  </si>
  <si>
    <t xml:space="preserve">if absent_run &gt;= 5</t>
  </si>
  <si>
    <t xml:space="preserve">5+ days absent</t>
  </si>
  <si>
    <t xml:space="preserve">return ESCALATE_TO_HOD</t>
  </si>
  <si>
    <t xml:space="preserve">fewer than 5</t>
  </si>
  <si>
    <t xml:space="preserve">if not guardian</t>
  </si>
  <si>
    <t xml:space="preserve">no guardian contact</t>
  </si>
  <si>
    <t xml:space="preserve">return NOTIFY_STUDENT</t>
  </si>
  <si>
    <t xml:space="preserve">guardian on file</t>
  </si>
  <si>
    <t xml:space="preserve">return NOTIFY_GUARDIAN</t>
  </si>
  <si>
    <t xml:space="preserve">E12</t>
  </si>
  <si>
    <t xml:space="preserve">E13</t>
  </si>
  <si>
    <t xml:space="preserve">Baseline: low attendance, guardian notified</t>
  </si>
  <si>
    <t xml:space="preserve">1-3-5-7-9-10</t>
  </si>
  <si>
    <t xml:space="preserve">All checks fall through</t>
  </si>
  <si>
    <t xml:space="preserve">Flip N1: already alerted today</t>
  </si>
  <si>
    <t xml:space="preserve">1-2-10</t>
  </si>
  <si>
    <t xml:space="preserve">Flip N3: attendance 75% or more</t>
  </si>
  <si>
    <t xml:space="preserve">1-3-4-10</t>
  </si>
  <si>
    <t xml:space="preserve">Flip N5: 5+ consecutive absences</t>
  </si>
  <si>
    <t xml:space="preserve">1-3-5-6-10</t>
  </si>
  <si>
    <t xml:space="preserve">Flip N7: no guardian contact</t>
  </si>
  <si>
    <t xml:space="preserve">1-3-5-7-8-10</t>
  </si>
  <si>
    <t xml:space="preserve">Low attendance, guardian on file</t>
  </si>
  <si>
    <t xml:space="preserve">alerted=No, pct=60, absent_run=2, guardian=Yes</t>
  </si>
  <si>
    <t xml:space="preserve">NOTIFY_GUARDIAN</t>
  </si>
  <si>
    <t xml:space="preserve">Already alerted today</t>
  </si>
  <si>
    <t xml:space="preserve">alerted=Yes, pct=60, absent_run=2, guardian=Yes</t>
  </si>
  <si>
    <t xml:space="preserve">SKIP_DUPLICATE</t>
  </si>
  <si>
    <t xml:space="preserve">Attendance fine</t>
  </si>
  <si>
    <t xml:space="preserve">alerted=No, pct=82, absent_run=2, guardian=Yes</t>
  </si>
  <si>
    <t xml:space="preserve">NO_ALERT</t>
  </si>
  <si>
    <t xml:space="preserve">Six absences in a row</t>
  </si>
  <si>
    <t xml:space="preserve">alerted=No, pct=60, absent_run=6, guardian=Yes</t>
  </si>
  <si>
    <t xml:space="preserve">ESCALATE_TO_HOD</t>
  </si>
  <si>
    <t xml:space="preserve">Low attendance, no guardian</t>
  </si>
  <si>
    <t xml:space="preserve">alerted=No, pct=60, absent_run=2, guardian=No</t>
  </si>
  <si>
    <t xml:space="preserve">NOTIFY_STUDENT</t>
  </si>
  <si>
    <t xml:space="preserve">Everything failing: duplicate check wins</t>
  </si>
  <si>
    <t xml:space="preserve">alerted=Yes, pct=82, absent_run=6, guardian=No</t>
  </si>
  <si>
    <t xml:space="preserve">Boundary: 75% beats 9 absences</t>
  </si>
  <si>
    <t xml:space="preserve">alerted=No, pct=75, absent_run=9, guardian=No</t>
  </si>
  <si>
    <t xml:space="preserve">Boundary: 74.9%, 4 absences</t>
  </si>
  <si>
    <t xml:space="preserve">alerted=No, pct=74.9, absent_run=4, guardian=Yes</t>
  </si>
  <si>
    <t xml:space="preserve">Boundary: 74.9%, exactly 5 absences</t>
  </si>
  <si>
    <t xml:space="preserve">alerted=No, pct=74.9, absent_run=5, guardian=Yes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</si>
</sst>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E699"/>
        <bgColor rgb="FFFFFF99"/>
      </patternFill>
    </fill>
    <fill>
      <patternFill patternType="solid">
        <fgColor rgb="FFFFFF99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11</xdr:col>
      <xdr:colOff>64440</xdr:colOff>
      <xdr:row>26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105760" y="419040"/>
          <a:ext cx="3285720" cy="5333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13</xdr:col>
      <xdr:colOff>507960</xdr:colOff>
      <xdr:row>17</xdr:row>
      <xdr:rowOff>56880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8105760" y="419040"/>
          <a:ext cx="4952520" cy="348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12</xdr:col>
      <xdr:colOff>414720</xdr:colOff>
      <xdr:row>26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8105760" y="419040"/>
          <a:ext cx="4247640" cy="5333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13</xdr:col>
      <xdr:colOff>507960</xdr:colOff>
      <xdr:row>19</xdr:row>
      <xdr:rowOff>104040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8105760" y="419040"/>
          <a:ext cx="4952520" cy="3914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30" hidden="false" customHeight="true" outlineLevel="0" collapsed="false">
      <c r="A6" s="6" t="n">
        <v>1</v>
      </c>
      <c r="B6" s="7" t="s">
        <v>7</v>
      </c>
      <c r="C6" s="8" t="s">
        <v>8</v>
      </c>
      <c r="D6" s="8" t="s">
        <v>9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30" hidden="false" customHeight="true" outlineLevel="0" collapsed="false">
      <c r="A7" s="6" t="n">
        <v>2</v>
      </c>
      <c r="B7" s="7" t="s">
        <v>10</v>
      </c>
      <c r="C7" s="8" t="s">
        <v>11</v>
      </c>
      <c r="D7" s="8" t="s">
        <v>12</v>
      </c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30" hidden="false" customHeight="true" outlineLevel="0" collapsed="false">
      <c r="A8" s="6" t="n">
        <v>3</v>
      </c>
      <c r="B8" s="7" t="s">
        <v>13</v>
      </c>
      <c r="C8" s="8" t="s">
        <v>14</v>
      </c>
      <c r="D8" s="8" t="s">
        <v>15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30" hidden="false" customHeight="true" outlineLevel="0" collapsed="false">
      <c r="A9" s="6" t="n">
        <v>4</v>
      </c>
      <c r="B9" s="7" t="s">
        <v>16</v>
      </c>
      <c r="C9" s="8" t="s">
        <v>17</v>
      </c>
      <c r="D9" s="8" t="s">
        <v>18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1" customFormat="false" ht="15" hidden="false" customHeight="true" outlineLevel="0" collapsed="false">
      <c r="A11" s="3" t="s">
        <v>19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30" hidden="false" customHeight="true" outlineLevel="0" collapsed="false">
      <c r="A12" s="5" t="s">
        <v>3</v>
      </c>
      <c r="B12" s="5" t="s">
        <v>4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</row>
    <row r="13" customFormat="false" ht="23.25" hidden="false" customHeight="true" outlineLevel="0" collapsed="false">
      <c r="A13" s="6" t="n">
        <v>1</v>
      </c>
      <c r="B13" s="8" t="s">
        <v>32</v>
      </c>
      <c r="C13" s="8" t="s">
        <v>33</v>
      </c>
      <c r="D13" s="6" t="n">
        <f aca="false">M1_AttendancePct!C49</f>
        <v>8</v>
      </c>
      <c r="E13" s="6" t="n">
        <f aca="false">M1_AttendancePct!C50</f>
        <v>10</v>
      </c>
      <c r="F13" s="6" t="n">
        <f aca="false">M1_AttendancePct!C51</f>
        <v>3</v>
      </c>
      <c r="G13" s="6" t="n">
        <f aca="false">M1_AttendancePct!C55</f>
        <v>4</v>
      </c>
      <c r="H13" s="6" t="n">
        <f aca="false">M1_AttendancePct!D65</f>
        <v>4</v>
      </c>
      <c r="I13" s="6" t="n">
        <f aca="false">M1_AttendancePct!D66</f>
        <v>0</v>
      </c>
      <c r="J13" s="6" t="n">
        <f aca="false">COUNTA(M1_AttendancePct!A70:A77)</f>
        <v>8</v>
      </c>
      <c r="K13" s="6" t="n">
        <f aca="false">COUNTIF(M1_AttendancePct!G70:G77,"Pass")</f>
        <v>8</v>
      </c>
      <c r="L13" s="9" t="n">
        <f aca="false">M1_AttendancePct!D103</f>
        <v>1</v>
      </c>
      <c r="M13" s="9" t="n">
        <f aca="false">M1_AttendancePct!D104</f>
        <v>1</v>
      </c>
      <c r="N13" s="9" t="n">
        <f aca="false">M1_AttendancePct!D105</f>
        <v>1</v>
      </c>
    </row>
    <row r="14" customFormat="false" ht="23.25" hidden="false" customHeight="true" outlineLevel="0" collapsed="false">
      <c r="A14" s="6" t="n">
        <v>2</v>
      </c>
      <c r="B14" s="8" t="s">
        <v>34</v>
      </c>
      <c r="C14" s="8" t="s">
        <v>35</v>
      </c>
      <c r="D14" s="6" t="n">
        <f aca="false">M2_Eligibility!C49</f>
        <v>8</v>
      </c>
      <c r="E14" s="6" t="n">
        <f aca="false">M2_Eligibility!C50</f>
        <v>10</v>
      </c>
      <c r="F14" s="6" t="n">
        <f aca="false">M2_Eligibility!C51</f>
        <v>3</v>
      </c>
      <c r="G14" s="6" t="n">
        <f aca="false">M2_Eligibility!C55</f>
        <v>4</v>
      </c>
      <c r="H14" s="6" t="n">
        <f aca="false">M2_Eligibility!D64</f>
        <v>4</v>
      </c>
      <c r="I14" s="6" t="n">
        <f aca="false">M2_Eligibility!D65</f>
        <v>0</v>
      </c>
      <c r="J14" s="6" t="n">
        <f aca="false">COUNTA(M2_Eligibility!A69:A77)</f>
        <v>9</v>
      </c>
      <c r="K14" s="6" t="n">
        <f aca="false">COUNTIF(M2_Eligibility!G69:G77,"Pass")</f>
        <v>9</v>
      </c>
      <c r="L14" s="9" t="n">
        <f aca="false">M2_Eligibility!D103</f>
        <v>1</v>
      </c>
      <c r="M14" s="9" t="n">
        <f aca="false">M2_Eligibility!D104</f>
        <v>1</v>
      </c>
      <c r="N14" s="9" t="n">
        <f aca="false">M2_Eligibility!D105</f>
        <v>1</v>
      </c>
    </row>
    <row r="15" customFormat="false" ht="23.25" hidden="false" customHeight="true" outlineLevel="0" collapsed="false">
      <c r="A15" s="6" t="n">
        <v>3</v>
      </c>
      <c r="B15" s="8" t="s">
        <v>36</v>
      </c>
      <c r="C15" s="8" t="s">
        <v>37</v>
      </c>
      <c r="D15" s="6" t="n">
        <f aca="false">M3_Marking!C50</f>
        <v>9</v>
      </c>
      <c r="E15" s="6" t="n">
        <f aca="false">M3_Marking!C51</f>
        <v>11</v>
      </c>
      <c r="F15" s="6" t="n">
        <f aca="false">M3_Marking!C52</f>
        <v>3</v>
      </c>
      <c r="G15" s="6" t="n">
        <f aca="false">M3_Marking!C56</f>
        <v>4</v>
      </c>
      <c r="H15" s="6" t="n">
        <f aca="false">M3_Marking!D69</f>
        <v>4</v>
      </c>
      <c r="I15" s="6" t="n">
        <f aca="false">M3_Marking!D70</f>
        <v>0</v>
      </c>
      <c r="J15" s="6" t="n">
        <f aca="false">COUNTA(M3_Marking!A74:A81)</f>
        <v>8</v>
      </c>
      <c r="K15" s="6" t="n">
        <f aca="false">COUNTIF(M3_Marking!G74:G81,"Pass")</f>
        <v>8</v>
      </c>
      <c r="L15" s="9" t="n">
        <f aca="false">M3_Marking!D109</f>
        <v>1</v>
      </c>
      <c r="M15" s="9" t="n">
        <f aca="false">M3_Marking!D110</f>
        <v>1</v>
      </c>
      <c r="N15" s="9" t="n">
        <f aca="false">M3_Marking!D111</f>
        <v>1</v>
      </c>
    </row>
    <row r="16" customFormat="false" ht="23.25" hidden="false" customHeight="true" outlineLevel="0" collapsed="false">
      <c r="A16" s="6" t="n">
        <v>4</v>
      </c>
      <c r="B16" s="8" t="s">
        <v>38</v>
      </c>
      <c r="C16" s="8" t="s">
        <v>39</v>
      </c>
      <c r="D16" s="6" t="n">
        <f aca="false">M4_Alerts!C52</f>
        <v>10</v>
      </c>
      <c r="E16" s="6" t="n">
        <f aca="false">M4_Alerts!C53</f>
        <v>13</v>
      </c>
      <c r="F16" s="6" t="n">
        <f aca="false">M4_Alerts!C54</f>
        <v>4</v>
      </c>
      <c r="G16" s="6" t="n">
        <f aca="false">M4_Alerts!C58</f>
        <v>5</v>
      </c>
      <c r="H16" s="6" t="n">
        <f aca="false">M4_Alerts!D68</f>
        <v>5</v>
      </c>
      <c r="I16" s="6" t="n">
        <f aca="false">M4_Alerts!D69</f>
        <v>0</v>
      </c>
      <c r="J16" s="6" t="n">
        <f aca="false">COUNTA(M4_Alerts!A73:A81)</f>
        <v>9</v>
      </c>
      <c r="K16" s="6" t="n">
        <f aca="false">COUNTIF(M4_Alerts!G73:G81,"Pass")</f>
        <v>9</v>
      </c>
      <c r="L16" s="9" t="n">
        <f aca="false">M4_Alerts!D112</f>
        <v>1</v>
      </c>
      <c r="M16" s="9" t="n">
        <f aca="false">M4_Alerts!D113</f>
        <v>1</v>
      </c>
      <c r="N16" s="9" t="n">
        <f aca="false">M4_Alerts!D114</f>
        <v>1</v>
      </c>
    </row>
    <row r="17" customFormat="false" ht="15" hidden="false" customHeight="true" outlineLevel="0" collapsed="false">
      <c r="A17" s="10"/>
      <c r="B17" s="7" t="s">
        <v>40</v>
      </c>
      <c r="C17" s="10"/>
      <c r="D17" s="10"/>
      <c r="E17" s="10"/>
      <c r="F17" s="10"/>
      <c r="G17" s="11" t="n">
        <f aca="false">SUM(G13:G16)</f>
        <v>17</v>
      </c>
      <c r="H17" s="11" t="n">
        <f aca="false">SUM(H13:H16)</f>
        <v>17</v>
      </c>
      <c r="I17" s="11" t="n">
        <f aca="false">SUM(I13:I16)</f>
        <v>0</v>
      </c>
      <c r="J17" s="11" t="n">
        <f aca="false">SUM(J13:J16)</f>
        <v>34</v>
      </c>
      <c r="K17" s="11" t="n">
        <f aca="false">SUM(K13:K16)</f>
        <v>34</v>
      </c>
      <c r="L17" s="10"/>
      <c r="M17" s="10"/>
      <c r="N17" s="10"/>
    </row>
    <row r="19" customFormat="false" ht="15" hidden="false" customHeight="true" outlineLevel="0" collapsed="false">
      <c r="A19" s="3" t="s">
        <v>41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true" outlineLevel="0" collapsed="false">
      <c r="A20" s="12" t="s">
        <v>42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customFormat="false" ht="15" hidden="false" customHeight="true" outlineLevel="0" collapsed="false">
      <c r="A21" s="12" t="s">
        <v>43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15" hidden="false" customHeight="true" outlineLevel="0" collapsed="false">
      <c r="A22" s="12" t="s">
        <v>44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customFormat="false" ht="27.75" hidden="false" customHeight="true" outlineLevel="0" collapsed="false">
      <c r="A23" s="12" t="s">
        <v>45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</sheetData>
  <mergeCells count="9">
    <mergeCell ref="D5:N5"/>
    <mergeCell ref="D6:N6"/>
    <mergeCell ref="D7:N7"/>
    <mergeCell ref="D8:N8"/>
    <mergeCell ref="D9:N9"/>
    <mergeCell ref="A20:N20"/>
    <mergeCell ref="A21:N21"/>
    <mergeCell ref="A22:N22"/>
    <mergeCell ref="A23:N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14" min="14" style="0" width="13"/>
  </cols>
  <sheetData>
    <row r="1" customFormat="false" ht="18" hidden="false" customHeight="tru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0" hidden="false" customHeight="true" outlineLevel="0" collapsed="false">
      <c r="A4" s="12" t="s">
        <v>48</v>
      </c>
      <c r="B4" s="12"/>
      <c r="C4" s="12"/>
      <c r="D4" s="12"/>
      <c r="E4" s="12"/>
    </row>
    <row r="5" customFormat="false" ht="30" hidden="false" customHeight="true" outlineLevel="0" collapsed="false">
      <c r="A5" s="12" t="s">
        <v>49</v>
      </c>
      <c r="B5" s="12"/>
      <c r="C5" s="12"/>
      <c r="D5" s="12"/>
      <c r="E5" s="12"/>
    </row>
    <row r="6" customFormat="false" ht="30" hidden="false" customHeight="true" outlineLevel="0" collapsed="false">
      <c r="A6" s="12" t="s">
        <v>50</v>
      </c>
      <c r="B6" s="12"/>
      <c r="C6" s="12"/>
      <c r="D6" s="12"/>
      <c r="E6" s="12"/>
    </row>
    <row r="8" customFormat="false" ht="15" hidden="false" customHeight="true" outlineLevel="0" collapsed="false">
      <c r="A8" s="3" t="s">
        <v>51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5" t="s">
        <v>52</v>
      </c>
      <c r="B9" s="5" t="s">
        <v>53</v>
      </c>
      <c r="C9" s="5" t="s">
        <v>54</v>
      </c>
    </row>
    <row r="10" customFormat="false" ht="15" hidden="false" customHeight="true" outlineLevel="0" collapsed="false">
      <c r="A10" s="6" t="n">
        <v>1</v>
      </c>
      <c r="B10" s="13" t="s">
        <v>55</v>
      </c>
      <c r="C10" s="6" t="s">
        <v>56</v>
      </c>
    </row>
    <row r="11" customFormat="false" ht="15" hidden="false" customHeight="true" outlineLevel="0" collapsed="false">
      <c r="A11" s="6" t="n">
        <v>2</v>
      </c>
      <c r="B11" s="13" t="s">
        <v>57</v>
      </c>
      <c r="C11" s="6" t="s">
        <v>58</v>
      </c>
    </row>
    <row r="12" customFormat="false" ht="15" hidden="false" customHeight="true" outlineLevel="0" collapsed="false">
      <c r="A12" s="6" t="n">
        <v>3</v>
      </c>
      <c r="B12" s="13" t="s">
        <v>59</v>
      </c>
      <c r="C12" s="6" t="s">
        <v>60</v>
      </c>
    </row>
    <row r="13" customFormat="false" ht="15" hidden="false" customHeight="true" outlineLevel="0" collapsed="false">
      <c r="A13" s="6" t="n">
        <v>4</v>
      </c>
      <c r="B13" s="13" t="s">
        <v>61</v>
      </c>
      <c r="C13" s="6" t="s">
        <v>62</v>
      </c>
    </row>
    <row r="14" customFormat="false" ht="15" hidden="false" customHeight="true" outlineLevel="0" collapsed="false">
      <c r="A14" s="6" t="n">
        <v>5</v>
      </c>
      <c r="B14" s="13" t="s">
        <v>63</v>
      </c>
      <c r="C14" s="6" t="s">
        <v>64</v>
      </c>
    </row>
    <row r="15" customFormat="false" ht="15" hidden="false" customHeight="true" outlineLevel="0" collapsed="false">
      <c r="A15" s="6" t="n">
        <v>6</v>
      </c>
      <c r="B15" s="13" t="s">
        <v>65</v>
      </c>
      <c r="C15" s="6" t="s">
        <v>66</v>
      </c>
    </row>
    <row r="16" customFormat="false" ht="15" hidden="false" customHeight="true" outlineLevel="0" collapsed="false">
      <c r="A16" s="6" t="n">
        <v>7</v>
      </c>
      <c r="B16" s="13" t="s">
        <v>67</v>
      </c>
      <c r="C16" s="6" t="s">
        <v>68</v>
      </c>
    </row>
    <row r="17" customFormat="false" ht="15" hidden="false" customHeight="true" outlineLevel="0" collapsed="false">
      <c r="A17" s="6" t="n">
        <v>8</v>
      </c>
      <c r="B17" s="13" t="s">
        <v>69</v>
      </c>
      <c r="C17" s="6" t="s">
        <v>70</v>
      </c>
    </row>
    <row r="34" customFormat="false" ht="15" hidden="false" customHeight="true" outlineLevel="0" collapsed="false">
      <c r="A34" s="3" t="s">
        <v>71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true" outlineLevel="0" collapsed="false">
      <c r="A35" s="5" t="s">
        <v>54</v>
      </c>
      <c r="B35" s="5" t="s">
        <v>72</v>
      </c>
      <c r="C35" s="5" t="s">
        <v>73</v>
      </c>
      <c r="D35" s="5" t="s">
        <v>74</v>
      </c>
      <c r="E35" s="5" t="s">
        <v>75</v>
      </c>
      <c r="G35" s="5" t="s">
        <v>76</v>
      </c>
      <c r="H35" s="5" t="s">
        <v>77</v>
      </c>
      <c r="I35" s="5" t="s">
        <v>78</v>
      </c>
      <c r="J35" s="5" t="s">
        <v>79</v>
      </c>
      <c r="K35" s="5" t="s">
        <v>80</v>
      </c>
      <c r="L35" s="5"/>
      <c r="M35" s="5"/>
      <c r="N35" s="5"/>
    </row>
    <row r="36" customFormat="false" ht="15" hidden="false" customHeight="true" outlineLevel="0" collapsed="false">
      <c r="A36" s="14" t="n">
        <v>1</v>
      </c>
      <c r="B36" s="15" t="s">
        <v>81</v>
      </c>
      <c r="C36" s="14" t="s">
        <v>82</v>
      </c>
      <c r="D36" s="14" t="n">
        <f aca="false">COUNTIF($H$36:$H$45,A36)</f>
        <v>2</v>
      </c>
      <c r="E36" s="14" t="n">
        <f aca="false">COUNTIF($I$36:$I$45,A36)</f>
        <v>0</v>
      </c>
      <c r="G36" s="6" t="s">
        <v>83</v>
      </c>
      <c r="H36" s="6" t="n">
        <v>1</v>
      </c>
      <c r="I36" s="6" t="n">
        <v>2</v>
      </c>
      <c r="J36" s="6" t="s">
        <v>84</v>
      </c>
      <c r="K36" s="8" t="s">
        <v>85</v>
      </c>
      <c r="L36" s="8"/>
      <c r="M36" s="8"/>
      <c r="N36" s="8"/>
    </row>
    <row r="37" customFormat="false" ht="15" hidden="false" customHeight="true" outlineLevel="0" collapsed="false">
      <c r="A37" s="6" t="n">
        <v>2</v>
      </c>
      <c r="B37" s="8" t="s">
        <v>86</v>
      </c>
      <c r="C37" s="6" t="s">
        <v>87</v>
      </c>
      <c r="D37" s="6" t="n">
        <f aca="false">COUNTIF($H$36:$H$45,A37)</f>
        <v>1</v>
      </c>
      <c r="E37" s="6" t="n">
        <f aca="false">COUNTIF($I$36:$I$45,A37)</f>
        <v>1</v>
      </c>
      <c r="G37" s="6" t="s">
        <v>88</v>
      </c>
      <c r="H37" s="6" t="n">
        <v>1</v>
      </c>
      <c r="I37" s="6" t="n">
        <v>3</v>
      </c>
      <c r="J37" s="6" t="s">
        <v>89</v>
      </c>
      <c r="K37" s="8" t="s">
        <v>90</v>
      </c>
      <c r="L37" s="8"/>
      <c r="M37" s="8"/>
      <c r="N37" s="8"/>
    </row>
    <row r="38" customFormat="false" ht="15" hidden="false" customHeight="true" outlineLevel="0" collapsed="false">
      <c r="A38" s="14" t="n">
        <v>3</v>
      </c>
      <c r="B38" s="15" t="s">
        <v>91</v>
      </c>
      <c r="C38" s="14" t="s">
        <v>82</v>
      </c>
      <c r="D38" s="14" t="n">
        <f aca="false">COUNTIF($H$36:$H$45,A38)</f>
        <v>2</v>
      </c>
      <c r="E38" s="14" t="n">
        <f aca="false">COUNTIF($I$36:$I$45,A38)</f>
        <v>1</v>
      </c>
      <c r="G38" s="6" t="s">
        <v>92</v>
      </c>
      <c r="H38" s="6" t="n">
        <v>3</v>
      </c>
      <c r="I38" s="6" t="n">
        <v>4</v>
      </c>
      <c r="J38" s="6" t="s">
        <v>84</v>
      </c>
      <c r="K38" s="8" t="s">
        <v>93</v>
      </c>
      <c r="L38" s="8"/>
      <c r="M38" s="8"/>
      <c r="N38" s="8"/>
    </row>
    <row r="39" customFormat="false" ht="15" hidden="false" customHeight="true" outlineLevel="0" collapsed="false">
      <c r="A39" s="6" t="n">
        <v>4</v>
      </c>
      <c r="B39" s="8" t="s">
        <v>94</v>
      </c>
      <c r="C39" s="6" t="s">
        <v>87</v>
      </c>
      <c r="D39" s="6" t="n">
        <f aca="false">COUNTIF($H$36:$H$45,A39)</f>
        <v>1</v>
      </c>
      <c r="E39" s="6" t="n">
        <f aca="false">COUNTIF($I$36:$I$45,A39)</f>
        <v>1</v>
      </c>
      <c r="G39" s="6" t="s">
        <v>95</v>
      </c>
      <c r="H39" s="6" t="n">
        <v>3</v>
      </c>
      <c r="I39" s="6" t="n">
        <v>5</v>
      </c>
      <c r="J39" s="6" t="s">
        <v>89</v>
      </c>
      <c r="K39" s="8" t="s">
        <v>96</v>
      </c>
      <c r="L39" s="8"/>
      <c r="M39" s="8"/>
      <c r="N39" s="8"/>
    </row>
    <row r="40" customFormat="false" ht="15" hidden="false" customHeight="true" outlineLevel="0" collapsed="false">
      <c r="A40" s="14" t="n">
        <v>5</v>
      </c>
      <c r="B40" s="15" t="s">
        <v>97</v>
      </c>
      <c r="C40" s="14" t="s">
        <v>82</v>
      </c>
      <c r="D40" s="14" t="n">
        <f aca="false">COUNTIF($H$36:$H$45,A40)</f>
        <v>2</v>
      </c>
      <c r="E40" s="14" t="n">
        <f aca="false">COUNTIF($I$36:$I$45,A40)</f>
        <v>2</v>
      </c>
      <c r="G40" s="6" t="s">
        <v>98</v>
      </c>
      <c r="H40" s="6" t="n">
        <v>4</v>
      </c>
      <c r="I40" s="6" t="n">
        <v>5</v>
      </c>
      <c r="J40" s="6" t="s">
        <v>56</v>
      </c>
      <c r="K40" s="8" t="s">
        <v>99</v>
      </c>
      <c r="L40" s="8"/>
      <c r="M40" s="8"/>
      <c r="N40" s="8"/>
    </row>
    <row r="41" customFormat="false" ht="15" hidden="false" customHeight="true" outlineLevel="0" collapsed="false">
      <c r="A41" s="6" t="n">
        <v>6</v>
      </c>
      <c r="B41" s="8" t="s">
        <v>100</v>
      </c>
      <c r="C41" s="6" t="s">
        <v>87</v>
      </c>
      <c r="D41" s="6" t="n">
        <f aca="false">COUNTIF($H$36:$H$45,A41)</f>
        <v>1</v>
      </c>
      <c r="E41" s="6" t="n">
        <f aca="false">COUNTIF($I$36:$I$45,A41)</f>
        <v>1</v>
      </c>
      <c r="G41" s="6" t="s">
        <v>101</v>
      </c>
      <c r="H41" s="6" t="n">
        <v>5</v>
      </c>
      <c r="I41" s="6" t="n">
        <v>6</v>
      </c>
      <c r="J41" s="6" t="s">
        <v>84</v>
      </c>
      <c r="K41" s="8" t="s">
        <v>102</v>
      </c>
      <c r="L41" s="8"/>
      <c r="M41" s="8"/>
      <c r="N41" s="8"/>
    </row>
    <row r="42" customFormat="false" ht="15" hidden="false" customHeight="true" outlineLevel="0" collapsed="false">
      <c r="A42" s="6" t="n">
        <v>7</v>
      </c>
      <c r="B42" s="8" t="s">
        <v>103</v>
      </c>
      <c r="C42" s="6" t="s">
        <v>87</v>
      </c>
      <c r="D42" s="6" t="n">
        <f aca="false">COUNTIF($H$36:$H$45,A42)</f>
        <v>1</v>
      </c>
      <c r="E42" s="6" t="n">
        <f aca="false">COUNTIF($I$36:$I$45,A42)</f>
        <v>2</v>
      </c>
      <c r="G42" s="6" t="s">
        <v>104</v>
      </c>
      <c r="H42" s="6" t="n">
        <v>5</v>
      </c>
      <c r="I42" s="6" t="n">
        <v>7</v>
      </c>
      <c r="J42" s="6" t="s">
        <v>89</v>
      </c>
      <c r="K42" s="8" t="s">
        <v>105</v>
      </c>
      <c r="L42" s="8"/>
      <c r="M42" s="8"/>
      <c r="N42" s="8"/>
    </row>
    <row r="43" customFormat="false" ht="15" hidden="false" customHeight="true" outlineLevel="0" collapsed="false">
      <c r="A43" s="6" t="n">
        <v>8</v>
      </c>
      <c r="B43" s="8" t="s">
        <v>106</v>
      </c>
      <c r="C43" s="6" t="s">
        <v>107</v>
      </c>
      <c r="D43" s="6" t="n">
        <f aca="false">COUNTIF($H$36:$H$45,A43)</f>
        <v>0</v>
      </c>
      <c r="E43" s="6" t="n">
        <f aca="false">COUNTIF($I$36:$I$45,A43)</f>
        <v>2</v>
      </c>
      <c r="G43" s="6" t="s">
        <v>108</v>
      </c>
      <c r="H43" s="6" t="n">
        <v>6</v>
      </c>
      <c r="I43" s="6" t="n">
        <v>7</v>
      </c>
      <c r="J43" s="6" t="s">
        <v>56</v>
      </c>
      <c r="K43" s="8" t="s">
        <v>109</v>
      </c>
      <c r="L43" s="8"/>
      <c r="M43" s="8"/>
      <c r="N43" s="8"/>
    </row>
    <row r="44" customFormat="false" ht="15" hidden="false" customHeight="true" outlineLevel="0" collapsed="false">
      <c r="G44" s="6" t="s">
        <v>110</v>
      </c>
      <c r="H44" s="6" t="n">
        <v>2</v>
      </c>
      <c r="I44" s="6" t="n">
        <v>8</v>
      </c>
      <c r="J44" s="6" t="s">
        <v>56</v>
      </c>
      <c r="K44" s="8" t="s">
        <v>106</v>
      </c>
      <c r="L44" s="8"/>
      <c r="M44" s="8"/>
      <c r="N44" s="8"/>
    </row>
    <row r="45" customFormat="false" ht="15" hidden="false" customHeight="true" outlineLevel="0" collapsed="false">
      <c r="G45" s="6" t="s">
        <v>111</v>
      </c>
      <c r="H45" s="6" t="n">
        <v>7</v>
      </c>
      <c r="I45" s="6" t="n">
        <v>8</v>
      </c>
      <c r="J45" s="6" t="s">
        <v>56</v>
      </c>
      <c r="K45" s="8" t="s">
        <v>106</v>
      </c>
      <c r="L45" s="8"/>
      <c r="M45" s="8"/>
      <c r="N45" s="8"/>
    </row>
    <row r="47" customFormat="false" ht="15" hidden="false" customHeight="true" outlineLevel="0" collapsed="false">
      <c r="A47" s="3" t="s">
        <v>112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customFormat="false" ht="23.85" hidden="false" customHeight="false" outlineLevel="0" collapsed="false">
      <c r="A48" s="5" t="s">
        <v>113</v>
      </c>
      <c r="B48" s="5" t="s">
        <v>114</v>
      </c>
      <c r="C48" s="5" t="s">
        <v>115</v>
      </c>
    </row>
    <row r="49" customFormat="false" ht="23.25" hidden="false" customHeight="true" outlineLevel="0" collapsed="false">
      <c r="A49" s="8" t="s">
        <v>116</v>
      </c>
      <c r="B49" s="8" t="s">
        <v>117</v>
      </c>
      <c r="C49" s="11" t="n">
        <f aca="false">COUNTA(A36:A43)</f>
        <v>8</v>
      </c>
    </row>
    <row r="50" customFormat="false" ht="23.25" hidden="false" customHeight="true" outlineLevel="0" collapsed="false">
      <c r="A50" s="8" t="s">
        <v>118</v>
      </c>
      <c r="B50" s="8" t="s">
        <v>119</v>
      </c>
      <c r="C50" s="11" t="n">
        <f aca="false">COUNTA(G36:G45)</f>
        <v>10</v>
      </c>
    </row>
    <row r="51" customFormat="false" ht="23.25" hidden="false" customHeight="true" outlineLevel="0" collapsed="false">
      <c r="A51" s="8" t="s">
        <v>120</v>
      </c>
      <c r="B51" s="8" t="s">
        <v>121</v>
      </c>
      <c r="C51" s="11" t="n">
        <f aca="false">COUNTIF(C36:C43,"Decision")</f>
        <v>3</v>
      </c>
    </row>
    <row r="52" customFormat="false" ht="23.25" hidden="false" customHeight="true" outlineLevel="0" collapsed="false">
      <c r="A52" s="8" t="s">
        <v>122</v>
      </c>
      <c r="B52" s="8" t="s">
        <v>123</v>
      </c>
      <c r="C52" s="11" t="n">
        <f aca="false">C50-C49+2</f>
        <v>4</v>
      </c>
    </row>
    <row r="53" customFormat="false" ht="23.25" hidden="false" customHeight="true" outlineLevel="0" collapsed="false">
      <c r="A53" s="8" t="s">
        <v>124</v>
      </c>
      <c r="B53" s="8" t="s">
        <v>125</v>
      </c>
      <c r="C53" s="11" t="n">
        <f aca="false">C51+1</f>
        <v>4</v>
      </c>
    </row>
    <row r="54" customFormat="false" ht="23.25" hidden="false" customHeight="true" outlineLevel="0" collapsed="false">
      <c r="A54" s="8" t="s">
        <v>126</v>
      </c>
      <c r="B54" s="8" t="s">
        <v>127</v>
      </c>
      <c r="C54" s="11" t="str">
        <f aca="false">IF(C52=C53,"Yes","MISMATCH")</f>
        <v>Yes</v>
      </c>
    </row>
    <row r="55" customFormat="false" ht="30" hidden="false" customHeight="true" outlineLevel="0" collapsed="false">
      <c r="A55" s="7" t="s">
        <v>128</v>
      </c>
      <c r="B55" s="8" t="s">
        <v>129</v>
      </c>
      <c r="C55" s="16" t="n">
        <f aca="false">C52</f>
        <v>4</v>
      </c>
    </row>
    <row r="56" customFormat="false" ht="23.25" hidden="false" customHeight="true" outlineLevel="0" collapsed="false">
      <c r="A56" s="8" t="s">
        <v>130</v>
      </c>
      <c r="B56" s="8" t="s">
        <v>131</v>
      </c>
      <c r="C56" s="11" t="str">
        <f aca="false">IF(C55&lt;=10,"Simple",IF(C55&lt;=20,"Moderate",IF(C55&lt;=50,"Complex","Unstable")))</f>
        <v>Simple</v>
      </c>
    </row>
    <row r="58" customFormat="false" ht="15" hidden="false" customHeight="true" outlineLevel="0" collapsed="false">
      <c r="A58" s="3" t="s">
        <v>132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ustomFormat="false" ht="15" hidden="false" customHeight="true" outlineLevel="0" collapsed="false">
      <c r="A59" s="5" t="s">
        <v>133</v>
      </c>
      <c r="B59" s="5" t="s">
        <v>134</v>
      </c>
      <c r="C59" s="5" t="s">
        <v>73</v>
      </c>
      <c r="D59" s="5" t="s">
        <v>135</v>
      </c>
      <c r="E59" s="5" t="s">
        <v>136</v>
      </c>
      <c r="F59" s="5"/>
      <c r="G59" s="5"/>
      <c r="H59" s="5"/>
      <c r="I59" s="5"/>
      <c r="J59" s="5"/>
      <c r="K59" s="5" t="s">
        <v>137</v>
      </c>
      <c r="L59" s="5"/>
      <c r="M59" s="5"/>
      <c r="N59" s="5"/>
    </row>
    <row r="60" customFormat="false" ht="15" hidden="false" customHeight="true" outlineLevel="0" collapsed="false">
      <c r="A60" s="6" t="s">
        <v>138</v>
      </c>
      <c r="B60" s="8" t="s">
        <v>139</v>
      </c>
      <c r="C60" s="6" t="s">
        <v>140</v>
      </c>
      <c r="D60" s="6" t="s">
        <v>141</v>
      </c>
      <c r="E60" s="13" t="s">
        <v>142</v>
      </c>
      <c r="F60" s="13"/>
      <c r="G60" s="13"/>
      <c r="H60" s="13"/>
      <c r="I60" s="13"/>
      <c r="J60" s="13"/>
      <c r="K60" s="8"/>
      <c r="L60" s="8"/>
      <c r="M60" s="8"/>
      <c r="N60" s="8"/>
    </row>
    <row r="61" customFormat="false" ht="15" hidden="false" customHeight="true" outlineLevel="0" collapsed="false">
      <c r="A61" s="6" t="s">
        <v>143</v>
      </c>
      <c r="B61" s="8" t="s">
        <v>144</v>
      </c>
      <c r="C61" s="6" t="s">
        <v>140</v>
      </c>
      <c r="D61" s="6" t="s">
        <v>141</v>
      </c>
      <c r="E61" s="13" t="s">
        <v>145</v>
      </c>
      <c r="F61" s="13"/>
      <c r="G61" s="13"/>
      <c r="H61" s="13"/>
      <c r="I61" s="13"/>
      <c r="J61" s="13"/>
      <c r="K61" s="8"/>
      <c r="L61" s="8"/>
      <c r="M61" s="8"/>
      <c r="N61" s="8"/>
    </row>
    <row r="62" customFormat="false" ht="15" hidden="false" customHeight="true" outlineLevel="0" collapsed="false">
      <c r="A62" s="6" t="s">
        <v>146</v>
      </c>
      <c r="B62" s="8" t="s">
        <v>147</v>
      </c>
      <c r="C62" s="6" t="s">
        <v>140</v>
      </c>
      <c r="D62" s="6" t="s">
        <v>141</v>
      </c>
      <c r="E62" s="13" t="s">
        <v>148</v>
      </c>
      <c r="F62" s="13"/>
      <c r="G62" s="13"/>
      <c r="H62" s="13"/>
      <c r="I62" s="13"/>
      <c r="J62" s="13"/>
      <c r="K62" s="8"/>
      <c r="L62" s="8"/>
      <c r="M62" s="8"/>
      <c r="N62" s="8"/>
    </row>
    <row r="63" customFormat="false" ht="15" hidden="false" customHeight="true" outlineLevel="0" collapsed="false">
      <c r="A63" s="6" t="s">
        <v>149</v>
      </c>
      <c r="B63" s="8" t="s">
        <v>150</v>
      </c>
      <c r="C63" s="6" t="s">
        <v>140</v>
      </c>
      <c r="D63" s="6" t="s">
        <v>141</v>
      </c>
      <c r="E63" s="13" t="s">
        <v>151</v>
      </c>
      <c r="F63" s="13"/>
      <c r="G63" s="13"/>
      <c r="H63" s="13"/>
      <c r="I63" s="13"/>
      <c r="J63" s="13"/>
      <c r="K63" s="8"/>
      <c r="L63" s="8"/>
      <c r="M63" s="8"/>
      <c r="N63" s="8"/>
    </row>
    <row r="64" customFormat="false" ht="15" hidden="false" customHeight="true" outlineLevel="0" collapsed="false">
      <c r="A64" s="6" t="s">
        <v>152</v>
      </c>
      <c r="B64" s="8" t="s">
        <v>153</v>
      </c>
      <c r="C64" s="6" t="s">
        <v>154</v>
      </c>
      <c r="D64" s="6" t="s">
        <v>141</v>
      </c>
      <c r="E64" s="13" t="s">
        <v>155</v>
      </c>
      <c r="F64" s="13"/>
      <c r="G64" s="13"/>
      <c r="H64" s="13"/>
      <c r="I64" s="13"/>
      <c r="J64" s="13"/>
      <c r="K64" s="8" t="s">
        <v>156</v>
      </c>
      <c r="L64" s="8"/>
      <c r="M64" s="8"/>
      <c r="N64" s="8"/>
    </row>
    <row r="65" customFormat="false" ht="15" hidden="false" customHeight="true" outlineLevel="0" collapsed="false">
      <c r="A65" s="7" t="s">
        <v>157</v>
      </c>
      <c r="B65" s="7"/>
      <c r="C65" s="7"/>
      <c r="D65" s="11" t="n">
        <f aca="false">COUNTIF(C60:C64,"Basis")</f>
        <v>4</v>
      </c>
      <c r="E65" s="17" t="str">
        <f aca="false">IF(D65=C55,"= V(G)  ✔","≠ V(G)")</f>
        <v>= V(G)  ✔</v>
      </c>
    </row>
    <row r="66" customFormat="false" ht="15" hidden="false" customHeight="true" outlineLevel="0" collapsed="false">
      <c r="A66" s="7" t="s">
        <v>158</v>
      </c>
      <c r="B66" s="7"/>
      <c r="C66" s="7"/>
      <c r="D66" s="11" t="n">
        <f aca="false">COUNTIF(D60:D64,"No")</f>
        <v>0</v>
      </c>
    </row>
    <row r="68" customFormat="false" ht="15" hidden="false" customHeight="true" outlineLevel="0" collapsed="false">
      <c r="A68" s="3" t="s">
        <v>159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customFormat="false" ht="15" hidden="false" customHeight="true" outlineLevel="0" collapsed="false">
      <c r="A69" s="5" t="s">
        <v>160</v>
      </c>
      <c r="B69" s="5" t="s">
        <v>161</v>
      </c>
      <c r="C69" s="5" t="s">
        <v>133</v>
      </c>
      <c r="D69" s="5" t="s">
        <v>162</v>
      </c>
      <c r="E69" s="5" t="s">
        <v>163</v>
      </c>
      <c r="F69" s="5" t="s">
        <v>164</v>
      </c>
      <c r="G69" s="5" t="s">
        <v>165</v>
      </c>
      <c r="H69" s="5" t="s">
        <v>166</v>
      </c>
      <c r="I69" s="5"/>
      <c r="J69" s="5"/>
      <c r="K69" s="5"/>
      <c r="L69" s="5"/>
    </row>
    <row r="70" customFormat="false" ht="30" hidden="false" customHeight="true" outlineLevel="0" collapsed="false">
      <c r="A70" s="6" t="s">
        <v>167</v>
      </c>
      <c r="B70" s="8" t="s">
        <v>168</v>
      </c>
      <c r="C70" s="6" t="s">
        <v>138</v>
      </c>
      <c r="D70" s="18" t="s">
        <v>169</v>
      </c>
      <c r="E70" s="19" t="n">
        <v>75</v>
      </c>
      <c r="F70" s="19" t="n">
        <v>75</v>
      </c>
      <c r="G70" s="20" t="str">
        <f aca="false">IF(F70="","Not run",IF(F70=E70,"Pass","Fail"))</f>
        <v>Pass</v>
      </c>
      <c r="H70" s="13" t="str">
        <f aca="false">INDEX($E$60:$E$64,MATCH(C70,$A$60:$A$64,0))</f>
        <v>1-3-5-7-8</v>
      </c>
      <c r="I70" s="13"/>
      <c r="J70" s="13"/>
      <c r="K70" s="13"/>
      <c r="L70" s="13"/>
    </row>
    <row r="71" customFormat="false" ht="30" hidden="false" customHeight="true" outlineLevel="0" collapsed="false">
      <c r="A71" s="6" t="s">
        <v>170</v>
      </c>
      <c r="B71" s="8" t="s">
        <v>171</v>
      </c>
      <c r="C71" s="6" t="s">
        <v>143</v>
      </c>
      <c r="D71" s="18" t="s">
        <v>172</v>
      </c>
      <c r="E71" s="19" t="s">
        <v>173</v>
      </c>
      <c r="F71" s="19" t="s">
        <v>173</v>
      </c>
      <c r="G71" s="20" t="str">
        <f aca="false">IF(F71="","Not run",IF(F71=E71,"Pass","Fail"))</f>
        <v>Pass</v>
      </c>
      <c r="H71" s="13" t="str">
        <f aca="false">INDEX($E$60:$E$64,MATCH(C71,$A$60:$A$64,0))</f>
        <v>1-2-8</v>
      </c>
      <c r="I71" s="13"/>
      <c r="J71" s="13"/>
      <c r="K71" s="13"/>
      <c r="L71" s="13"/>
    </row>
    <row r="72" customFormat="false" ht="30" hidden="false" customHeight="true" outlineLevel="0" collapsed="false">
      <c r="A72" s="6" t="s">
        <v>174</v>
      </c>
      <c r="B72" s="8" t="s">
        <v>175</v>
      </c>
      <c r="C72" s="6" t="s">
        <v>146</v>
      </c>
      <c r="D72" s="18" t="s">
        <v>176</v>
      </c>
      <c r="E72" s="19" t="n">
        <v>75</v>
      </c>
      <c r="F72" s="19" t="n">
        <v>75</v>
      </c>
      <c r="G72" s="20" t="str">
        <f aca="false">IF(F72="","Not run",IF(F72=E72,"Pass","Fail"))</f>
        <v>Pass</v>
      </c>
      <c r="H72" s="13" t="str">
        <f aca="false">INDEX($E$60:$E$64,MATCH(C72,$A$60:$A$64,0))</f>
        <v>1-3-4-5-7-8</v>
      </c>
      <c r="I72" s="13"/>
      <c r="J72" s="13"/>
      <c r="K72" s="13"/>
      <c r="L72" s="13"/>
    </row>
    <row r="73" customFormat="false" ht="30" hidden="false" customHeight="true" outlineLevel="0" collapsed="false">
      <c r="A73" s="6" t="s">
        <v>177</v>
      </c>
      <c r="B73" s="8" t="s">
        <v>178</v>
      </c>
      <c r="C73" s="6" t="s">
        <v>149</v>
      </c>
      <c r="D73" s="18" t="s">
        <v>179</v>
      </c>
      <c r="E73" s="19" t="n">
        <v>100</v>
      </c>
      <c r="F73" s="19" t="n">
        <v>100</v>
      </c>
      <c r="G73" s="20" t="str">
        <f aca="false">IF(F73="","Not run",IF(F73=E73,"Pass","Fail"))</f>
        <v>Pass</v>
      </c>
      <c r="H73" s="13" t="str">
        <f aca="false">INDEX($E$60:$E$64,MATCH(C73,$A$60:$A$64,0))</f>
        <v>1-3-5-6-7-8</v>
      </c>
      <c r="I73" s="13"/>
      <c r="J73" s="13"/>
      <c r="K73" s="13"/>
      <c r="L73" s="13"/>
    </row>
    <row r="74" customFormat="false" ht="30" hidden="false" customHeight="true" outlineLevel="0" collapsed="false">
      <c r="A74" s="6" t="s">
        <v>180</v>
      </c>
      <c r="B74" s="8" t="s">
        <v>181</v>
      </c>
      <c r="C74" s="6" t="s">
        <v>152</v>
      </c>
      <c r="D74" s="18" t="s">
        <v>182</v>
      </c>
      <c r="E74" s="19" t="n">
        <v>100</v>
      </c>
      <c r="F74" s="19" t="n">
        <v>100</v>
      </c>
      <c r="G74" s="20" t="str">
        <f aca="false">IF(F74="","Not run",IF(F74=E74,"Pass","Fail"))</f>
        <v>Pass</v>
      </c>
      <c r="H74" s="13" t="str">
        <f aca="false">INDEX($E$60:$E$64,MATCH(C74,$A$60:$A$64,0))</f>
        <v>1-3-4-5-6-7-8</v>
      </c>
      <c r="I74" s="13"/>
      <c r="J74" s="13"/>
      <c r="K74" s="13"/>
      <c r="L74" s="13"/>
    </row>
    <row r="75" customFormat="false" ht="30" hidden="false" customHeight="true" outlineLevel="0" collapsed="false">
      <c r="A75" s="6" t="s">
        <v>183</v>
      </c>
      <c r="B75" s="8" t="s">
        <v>184</v>
      </c>
      <c r="C75" s="6" t="s">
        <v>138</v>
      </c>
      <c r="D75" s="18" t="s">
        <v>185</v>
      </c>
      <c r="E75" s="19" t="n">
        <v>0</v>
      </c>
      <c r="F75" s="19" t="n">
        <v>0</v>
      </c>
      <c r="G75" s="20" t="str">
        <f aca="false">IF(F75="","Not run",IF(F75=E75,"Pass","Fail"))</f>
        <v>Pass</v>
      </c>
      <c r="H75" s="13" t="str">
        <f aca="false">INDEX($E$60:$E$64,MATCH(C75,$A$60:$A$64,0))</f>
        <v>1-3-5-7-8</v>
      </c>
      <c r="I75" s="13"/>
      <c r="J75" s="13"/>
      <c r="K75" s="13"/>
      <c r="L75" s="13"/>
    </row>
    <row r="76" customFormat="false" ht="30" hidden="false" customHeight="true" outlineLevel="0" collapsed="false">
      <c r="A76" s="6" t="s">
        <v>186</v>
      </c>
      <c r="B76" s="8" t="s">
        <v>187</v>
      </c>
      <c r="C76" s="6" t="s">
        <v>138</v>
      </c>
      <c r="D76" s="18" t="s">
        <v>188</v>
      </c>
      <c r="E76" s="19" t="n">
        <v>100</v>
      </c>
      <c r="F76" s="19" t="n">
        <v>100</v>
      </c>
      <c r="G76" s="20" t="str">
        <f aca="false">IF(F76="","Not run",IF(F76=E76,"Pass","Fail"))</f>
        <v>Pass</v>
      </c>
      <c r="H76" s="13" t="str">
        <f aca="false">INDEX($E$60:$E$64,MATCH(C76,$A$60:$A$64,0))</f>
        <v>1-3-5-7-8</v>
      </c>
      <c r="I76" s="13"/>
      <c r="J76" s="13"/>
      <c r="K76" s="13"/>
      <c r="L76" s="13"/>
    </row>
    <row r="77" customFormat="false" ht="30" hidden="false" customHeight="true" outlineLevel="0" collapsed="false">
      <c r="A77" s="6" t="s">
        <v>189</v>
      </c>
      <c r="B77" s="8" t="s">
        <v>190</v>
      </c>
      <c r="C77" s="6" t="s">
        <v>149</v>
      </c>
      <c r="D77" s="18" t="s">
        <v>191</v>
      </c>
      <c r="E77" s="19" t="n">
        <v>100</v>
      </c>
      <c r="F77" s="19" t="n">
        <v>100</v>
      </c>
      <c r="G77" s="20" t="str">
        <f aca="false">IF(F77="","Not run",IF(F77=E77,"Pass","Fail"))</f>
        <v>Pass</v>
      </c>
      <c r="H77" s="13" t="str">
        <f aca="false">INDEX($E$60:$E$64,MATCH(C77,$A$60:$A$64,0))</f>
        <v>1-3-5-6-7-8</v>
      </c>
      <c r="I77" s="13"/>
      <c r="J77" s="13"/>
      <c r="K77" s="13"/>
      <c r="L77" s="13"/>
    </row>
    <row r="79" customFormat="false" ht="15" hidden="false" customHeight="true" outlineLevel="0" collapsed="false">
      <c r="A79" s="3" t="s">
        <v>192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customFormat="false" ht="15" hidden="false" customHeight="false" outlineLevel="0" collapsed="false">
      <c r="A80" s="5" t="s">
        <v>76</v>
      </c>
      <c r="B80" s="5" t="s">
        <v>77</v>
      </c>
      <c r="C80" s="5" t="s">
        <v>78</v>
      </c>
      <c r="D80" s="5" t="s">
        <v>79</v>
      </c>
      <c r="E80" s="5" t="s">
        <v>167</v>
      </c>
      <c r="F80" s="5" t="s">
        <v>170</v>
      </c>
      <c r="G80" s="5" t="s">
        <v>174</v>
      </c>
      <c r="H80" s="5" t="s">
        <v>177</v>
      </c>
      <c r="I80" s="5" t="s">
        <v>180</v>
      </c>
      <c r="J80" s="5" t="s">
        <v>183</v>
      </c>
      <c r="K80" s="5" t="s">
        <v>186</v>
      </c>
      <c r="L80" s="5" t="s">
        <v>189</v>
      </c>
      <c r="M80" s="5" t="s">
        <v>193</v>
      </c>
      <c r="N80" s="5" t="s">
        <v>165</v>
      </c>
    </row>
    <row r="81" customFormat="false" ht="15" hidden="false" customHeight="true" outlineLevel="0" collapsed="false">
      <c r="A81" s="6" t="str">
        <f aca="false">G36</f>
        <v>E1</v>
      </c>
      <c r="B81" s="6" t="n">
        <f aca="false">H36</f>
        <v>1</v>
      </c>
      <c r="C81" s="6" t="n">
        <f aca="false">I36</f>
        <v>2</v>
      </c>
      <c r="D81" s="6" t="str">
        <f aca="false">J36</f>
        <v>T</v>
      </c>
      <c r="E81" s="21" t="n">
        <f aca="false">IF(ISNUMBER(SEARCH("-"&amp;$B81&amp;"-"&amp;$C81&amp;"-","-"&amp;INDEX($H$70:$H$77,MATCH(E$80,$A$70:$A$77,0))&amp;"-")),1,0)</f>
        <v>0</v>
      </c>
      <c r="F81" s="21" t="n">
        <f aca="false">IF(ISNUMBER(SEARCH("-"&amp;$B81&amp;"-"&amp;$C81&amp;"-","-"&amp;INDEX($H$70:$H$77,MATCH(F$80,$A$70:$A$77,0))&amp;"-")),1,0)</f>
        <v>1</v>
      </c>
      <c r="G81" s="21" t="n">
        <f aca="false">IF(ISNUMBER(SEARCH("-"&amp;$B81&amp;"-"&amp;$C81&amp;"-","-"&amp;INDEX($H$70:$H$77,MATCH(G$80,$A$70:$A$77,0))&amp;"-")),1,0)</f>
        <v>0</v>
      </c>
      <c r="H81" s="21" t="n">
        <f aca="false">IF(ISNUMBER(SEARCH("-"&amp;$B81&amp;"-"&amp;$C81&amp;"-","-"&amp;INDEX($H$70:$H$77,MATCH(H$80,$A$70:$A$77,0))&amp;"-")),1,0)</f>
        <v>0</v>
      </c>
      <c r="I81" s="21" t="n">
        <f aca="false">IF(ISNUMBER(SEARCH("-"&amp;$B81&amp;"-"&amp;$C81&amp;"-","-"&amp;INDEX($H$70:$H$77,MATCH(I$80,$A$70:$A$77,0))&amp;"-")),1,0)</f>
        <v>0</v>
      </c>
      <c r="J81" s="21" t="n">
        <f aca="false">IF(ISNUMBER(SEARCH("-"&amp;$B81&amp;"-"&amp;$C81&amp;"-","-"&amp;INDEX($H$70:$H$77,MATCH(J$80,$A$70:$A$77,0))&amp;"-")),1,0)</f>
        <v>0</v>
      </c>
      <c r="K81" s="21" t="n">
        <f aca="false">IF(ISNUMBER(SEARCH("-"&amp;$B81&amp;"-"&amp;$C81&amp;"-","-"&amp;INDEX($H$70:$H$77,MATCH(K$80,$A$70:$A$77,0))&amp;"-")),1,0)</f>
        <v>0</v>
      </c>
      <c r="L81" s="21" t="n">
        <f aca="false">IF(ISNUMBER(SEARCH("-"&amp;$B81&amp;"-"&amp;$C81&amp;"-","-"&amp;INDEX($H$70:$H$77,MATCH(L$80,$A$70:$A$77,0))&amp;"-")),1,0)</f>
        <v>0</v>
      </c>
      <c r="M81" s="6" t="n">
        <f aca="false">SUM(E81:L81)</f>
        <v>1</v>
      </c>
      <c r="N81" s="6" t="str">
        <f aca="false">IF(M81&gt;0,"Covered","NOT covered")</f>
        <v>Covered</v>
      </c>
    </row>
    <row r="82" customFormat="false" ht="15" hidden="false" customHeight="true" outlineLevel="0" collapsed="false">
      <c r="A82" s="6" t="str">
        <f aca="false">G37</f>
        <v>E2</v>
      </c>
      <c r="B82" s="6" t="n">
        <f aca="false">H37</f>
        <v>1</v>
      </c>
      <c r="C82" s="6" t="n">
        <f aca="false">I37</f>
        <v>3</v>
      </c>
      <c r="D82" s="6" t="str">
        <f aca="false">J37</f>
        <v>F</v>
      </c>
      <c r="E82" s="21" t="n">
        <f aca="false">IF(ISNUMBER(SEARCH("-"&amp;$B82&amp;"-"&amp;$C82&amp;"-","-"&amp;INDEX($H$70:$H$77,MATCH(E$80,$A$70:$A$77,0))&amp;"-")),1,0)</f>
        <v>1</v>
      </c>
      <c r="F82" s="21" t="n">
        <f aca="false">IF(ISNUMBER(SEARCH("-"&amp;$B82&amp;"-"&amp;$C82&amp;"-","-"&amp;INDEX($H$70:$H$77,MATCH(F$80,$A$70:$A$77,0))&amp;"-")),1,0)</f>
        <v>0</v>
      </c>
      <c r="G82" s="21" t="n">
        <f aca="false">IF(ISNUMBER(SEARCH("-"&amp;$B82&amp;"-"&amp;$C82&amp;"-","-"&amp;INDEX($H$70:$H$77,MATCH(G$80,$A$70:$A$77,0))&amp;"-")),1,0)</f>
        <v>1</v>
      </c>
      <c r="H82" s="21" t="n">
        <f aca="false">IF(ISNUMBER(SEARCH("-"&amp;$B82&amp;"-"&amp;$C82&amp;"-","-"&amp;INDEX($H$70:$H$77,MATCH(H$80,$A$70:$A$77,0))&amp;"-")),1,0)</f>
        <v>1</v>
      </c>
      <c r="I82" s="21" t="n">
        <f aca="false">IF(ISNUMBER(SEARCH("-"&amp;$B82&amp;"-"&amp;$C82&amp;"-","-"&amp;INDEX($H$70:$H$77,MATCH(I$80,$A$70:$A$77,0))&amp;"-")),1,0)</f>
        <v>1</v>
      </c>
      <c r="J82" s="21" t="n">
        <f aca="false">IF(ISNUMBER(SEARCH("-"&amp;$B82&amp;"-"&amp;$C82&amp;"-","-"&amp;INDEX($H$70:$H$77,MATCH(J$80,$A$70:$A$77,0))&amp;"-")),1,0)</f>
        <v>1</v>
      </c>
      <c r="K82" s="21" t="n">
        <f aca="false">IF(ISNUMBER(SEARCH("-"&amp;$B82&amp;"-"&amp;$C82&amp;"-","-"&amp;INDEX($H$70:$H$77,MATCH(K$80,$A$70:$A$77,0))&amp;"-")),1,0)</f>
        <v>1</v>
      </c>
      <c r="L82" s="21" t="n">
        <f aca="false">IF(ISNUMBER(SEARCH("-"&amp;$B82&amp;"-"&amp;$C82&amp;"-","-"&amp;INDEX($H$70:$H$77,MATCH(L$80,$A$70:$A$77,0))&amp;"-")),1,0)</f>
        <v>1</v>
      </c>
      <c r="M82" s="6" t="n">
        <f aca="false">SUM(E82:L82)</f>
        <v>7</v>
      </c>
      <c r="N82" s="6" t="str">
        <f aca="false">IF(M82&gt;0,"Covered","NOT covered")</f>
        <v>Covered</v>
      </c>
    </row>
    <row r="83" customFormat="false" ht="15" hidden="false" customHeight="true" outlineLevel="0" collapsed="false">
      <c r="A83" s="6" t="str">
        <f aca="false">G38</f>
        <v>E3</v>
      </c>
      <c r="B83" s="6" t="n">
        <f aca="false">H38</f>
        <v>3</v>
      </c>
      <c r="C83" s="6" t="n">
        <f aca="false">I38</f>
        <v>4</v>
      </c>
      <c r="D83" s="6" t="str">
        <f aca="false">J38</f>
        <v>T</v>
      </c>
      <c r="E83" s="21" t="n">
        <f aca="false">IF(ISNUMBER(SEARCH("-"&amp;$B83&amp;"-"&amp;$C83&amp;"-","-"&amp;INDEX($H$70:$H$77,MATCH(E$80,$A$70:$A$77,0))&amp;"-")),1,0)</f>
        <v>0</v>
      </c>
      <c r="F83" s="21" t="n">
        <f aca="false">IF(ISNUMBER(SEARCH("-"&amp;$B83&amp;"-"&amp;$C83&amp;"-","-"&amp;INDEX($H$70:$H$77,MATCH(F$80,$A$70:$A$77,0))&amp;"-")),1,0)</f>
        <v>0</v>
      </c>
      <c r="G83" s="21" t="n">
        <f aca="false">IF(ISNUMBER(SEARCH("-"&amp;$B83&amp;"-"&amp;$C83&amp;"-","-"&amp;INDEX($H$70:$H$77,MATCH(G$80,$A$70:$A$77,0))&amp;"-")),1,0)</f>
        <v>1</v>
      </c>
      <c r="H83" s="21" t="n">
        <f aca="false">IF(ISNUMBER(SEARCH("-"&amp;$B83&amp;"-"&amp;$C83&amp;"-","-"&amp;INDEX($H$70:$H$77,MATCH(H$80,$A$70:$A$77,0))&amp;"-")),1,0)</f>
        <v>0</v>
      </c>
      <c r="I83" s="21" t="n">
        <f aca="false">IF(ISNUMBER(SEARCH("-"&amp;$B83&amp;"-"&amp;$C83&amp;"-","-"&amp;INDEX($H$70:$H$77,MATCH(I$80,$A$70:$A$77,0))&amp;"-")),1,0)</f>
        <v>1</v>
      </c>
      <c r="J83" s="21" t="n">
        <f aca="false">IF(ISNUMBER(SEARCH("-"&amp;$B83&amp;"-"&amp;$C83&amp;"-","-"&amp;INDEX($H$70:$H$77,MATCH(J$80,$A$70:$A$77,0))&amp;"-")),1,0)</f>
        <v>0</v>
      </c>
      <c r="K83" s="21" t="n">
        <f aca="false">IF(ISNUMBER(SEARCH("-"&amp;$B83&amp;"-"&amp;$C83&amp;"-","-"&amp;INDEX($H$70:$H$77,MATCH(K$80,$A$70:$A$77,0))&amp;"-")),1,0)</f>
        <v>0</v>
      </c>
      <c r="L83" s="21" t="n">
        <f aca="false">IF(ISNUMBER(SEARCH("-"&amp;$B83&amp;"-"&amp;$C83&amp;"-","-"&amp;INDEX($H$70:$H$77,MATCH(L$80,$A$70:$A$77,0))&amp;"-")),1,0)</f>
        <v>0</v>
      </c>
      <c r="M83" s="6" t="n">
        <f aca="false">SUM(E83:L83)</f>
        <v>2</v>
      </c>
      <c r="N83" s="6" t="str">
        <f aca="false">IF(M83&gt;0,"Covered","NOT covered")</f>
        <v>Covered</v>
      </c>
    </row>
    <row r="84" customFormat="false" ht="15" hidden="false" customHeight="true" outlineLevel="0" collapsed="false">
      <c r="A84" s="6" t="str">
        <f aca="false">G39</f>
        <v>E4</v>
      </c>
      <c r="B84" s="6" t="n">
        <f aca="false">H39</f>
        <v>3</v>
      </c>
      <c r="C84" s="6" t="n">
        <f aca="false">I39</f>
        <v>5</v>
      </c>
      <c r="D84" s="6" t="str">
        <f aca="false">J39</f>
        <v>F</v>
      </c>
      <c r="E84" s="21" t="n">
        <f aca="false">IF(ISNUMBER(SEARCH("-"&amp;$B84&amp;"-"&amp;$C84&amp;"-","-"&amp;INDEX($H$70:$H$77,MATCH(E$80,$A$70:$A$77,0))&amp;"-")),1,0)</f>
        <v>1</v>
      </c>
      <c r="F84" s="21" t="n">
        <f aca="false">IF(ISNUMBER(SEARCH("-"&amp;$B84&amp;"-"&amp;$C84&amp;"-","-"&amp;INDEX($H$70:$H$77,MATCH(F$80,$A$70:$A$77,0))&amp;"-")),1,0)</f>
        <v>0</v>
      </c>
      <c r="G84" s="21" t="n">
        <f aca="false">IF(ISNUMBER(SEARCH("-"&amp;$B84&amp;"-"&amp;$C84&amp;"-","-"&amp;INDEX($H$70:$H$77,MATCH(G$80,$A$70:$A$77,0))&amp;"-")),1,0)</f>
        <v>0</v>
      </c>
      <c r="H84" s="21" t="n">
        <f aca="false">IF(ISNUMBER(SEARCH("-"&amp;$B84&amp;"-"&amp;$C84&amp;"-","-"&amp;INDEX($H$70:$H$77,MATCH(H$80,$A$70:$A$77,0))&amp;"-")),1,0)</f>
        <v>1</v>
      </c>
      <c r="I84" s="21" t="n">
        <f aca="false">IF(ISNUMBER(SEARCH("-"&amp;$B84&amp;"-"&amp;$C84&amp;"-","-"&amp;INDEX($H$70:$H$77,MATCH(I$80,$A$70:$A$77,0))&amp;"-")),1,0)</f>
        <v>0</v>
      </c>
      <c r="J84" s="21" t="n">
        <f aca="false">IF(ISNUMBER(SEARCH("-"&amp;$B84&amp;"-"&amp;$C84&amp;"-","-"&amp;INDEX($H$70:$H$77,MATCH(J$80,$A$70:$A$77,0))&amp;"-")),1,0)</f>
        <v>1</v>
      </c>
      <c r="K84" s="21" t="n">
        <f aca="false">IF(ISNUMBER(SEARCH("-"&amp;$B84&amp;"-"&amp;$C84&amp;"-","-"&amp;INDEX($H$70:$H$77,MATCH(K$80,$A$70:$A$77,0))&amp;"-")),1,0)</f>
        <v>1</v>
      </c>
      <c r="L84" s="21" t="n">
        <f aca="false">IF(ISNUMBER(SEARCH("-"&amp;$B84&amp;"-"&amp;$C84&amp;"-","-"&amp;INDEX($H$70:$H$77,MATCH(L$80,$A$70:$A$77,0))&amp;"-")),1,0)</f>
        <v>1</v>
      </c>
      <c r="M84" s="6" t="n">
        <f aca="false">SUM(E84:L84)</f>
        <v>5</v>
      </c>
      <c r="N84" s="6" t="str">
        <f aca="false">IF(M84&gt;0,"Covered","NOT covered")</f>
        <v>Covered</v>
      </c>
    </row>
    <row r="85" customFormat="false" ht="15" hidden="false" customHeight="true" outlineLevel="0" collapsed="false">
      <c r="A85" s="6" t="str">
        <f aca="false">G40</f>
        <v>E5</v>
      </c>
      <c r="B85" s="6" t="n">
        <f aca="false">H40</f>
        <v>4</v>
      </c>
      <c r="C85" s="6" t="n">
        <f aca="false">I40</f>
        <v>5</v>
      </c>
      <c r="D85" s="6" t="str">
        <f aca="false">J40</f>
        <v>-</v>
      </c>
      <c r="E85" s="21" t="n">
        <f aca="false">IF(ISNUMBER(SEARCH("-"&amp;$B85&amp;"-"&amp;$C85&amp;"-","-"&amp;INDEX($H$70:$H$77,MATCH(E$80,$A$70:$A$77,0))&amp;"-")),1,0)</f>
        <v>0</v>
      </c>
      <c r="F85" s="21" t="n">
        <f aca="false">IF(ISNUMBER(SEARCH("-"&amp;$B85&amp;"-"&amp;$C85&amp;"-","-"&amp;INDEX($H$70:$H$77,MATCH(F$80,$A$70:$A$77,0))&amp;"-")),1,0)</f>
        <v>0</v>
      </c>
      <c r="G85" s="21" t="n">
        <f aca="false">IF(ISNUMBER(SEARCH("-"&amp;$B85&amp;"-"&amp;$C85&amp;"-","-"&amp;INDEX($H$70:$H$77,MATCH(G$80,$A$70:$A$77,0))&amp;"-")),1,0)</f>
        <v>1</v>
      </c>
      <c r="H85" s="21" t="n">
        <f aca="false">IF(ISNUMBER(SEARCH("-"&amp;$B85&amp;"-"&amp;$C85&amp;"-","-"&amp;INDEX($H$70:$H$77,MATCH(H$80,$A$70:$A$77,0))&amp;"-")),1,0)</f>
        <v>0</v>
      </c>
      <c r="I85" s="21" t="n">
        <f aca="false">IF(ISNUMBER(SEARCH("-"&amp;$B85&amp;"-"&amp;$C85&amp;"-","-"&amp;INDEX($H$70:$H$77,MATCH(I$80,$A$70:$A$77,0))&amp;"-")),1,0)</f>
        <v>1</v>
      </c>
      <c r="J85" s="21" t="n">
        <f aca="false">IF(ISNUMBER(SEARCH("-"&amp;$B85&amp;"-"&amp;$C85&amp;"-","-"&amp;INDEX($H$70:$H$77,MATCH(J$80,$A$70:$A$77,0))&amp;"-")),1,0)</f>
        <v>0</v>
      </c>
      <c r="K85" s="21" t="n">
        <f aca="false">IF(ISNUMBER(SEARCH("-"&amp;$B85&amp;"-"&amp;$C85&amp;"-","-"&amp;INDEX($H$70:$H$77,MATCH(K$80,$A$70:$A$77,0))&amp;"-")),1,0)</f>
        <v>0</v>
      </c>
      <c r="L85" s="21" t="n">
        <f aca="false">IF(ISNUMBER(SEARCH("-"&amp;$B85&amp;"-"&amp;$C85&amp;"-","-"&amp;INDEX($H$70:$H$77,MATCH(L$80,$A$70:$A$77,0))&amp;"-")),1,0)</f>
        <v>0</v>
      </c>
      <c r="M85" s="6" t="n">
        <f aca="false">SUM(E85:L85)</f>
        <v>2</v>
      </c>
      <c r="N85" s="6" t="str">
        <f aca="false">IF(M85&gt;0,"Covered","NOT covered")</f>
        <v>Covered</v>
      </c>
    </row>
    <row r="86" customFormat="false" ht="15" hidden="false" customHeight="true" outlineLevel="0" collapsed="false">
      <c r="A86" s="6" t="str">
        <f aca="false">G41</f>
        <v>E6</v>
      </c>
      <c r="B86" s="6" t="n">
        <f aca="false">H41</f>
        <v>5</v>
      </c>
      <c r="C86" s="6" t="n">
        <f aca="false">I41</f>
        <v>6</v>
      </c>
      <c r="D86" s="6" t="str">
        <f aca="false">J41</f>
        <v>T</v>
      </c>
      <c r="E86" s="21" t="n">
        <f aca="false">IF(ISNUMBER(SEARCH("-"&amp;$B86&amp;"-"&amp;$C86&amp;"-","-"&amp;INDEX($H$70:$H$77,MATCH(E$80,$A$70:$A$77,0))&amp;"-")),1,0)</f>
        <v>0</v>
      </c>
      <c r="F86" s="21" t="n">
        <f aca="false">IF(ISNUMBER(SEARCH("-"&amp;$B86&amp;"-"&amp;$C86&amp;"-","-"&amp;INDEX($H$70:$H$77,MATCH(F$80,$A$70:$A$77,0))&amp;"-")),1,0)</f>
        <v>0</v>
      </c>
      <c r="G86" s="21" t="n">
        <f aca="false">IF(ISNUMBER(SEARCH("-"&amp;$B86&amp;"-"&amp;$C86&amp;"-","-"&amp;INDEX($H$70:$H$77,MATCH(G$80,$A$70:$A$77,0))&amp;"-")),1,0)</f>
        <v>0</v>
      </c>
      <c r="H86" s="21" t="n">
        <f aca="false">IF(ISNUMBER(SEARCH("-"&amp;$B86&amp;"-"&amp;$C86&amp;"-","-"&amp;INDEX($H$70:$H$77,MATCH(H$80,$A$70:$A$77,0))&amp;"-")),1,0)</f>
        <v>1</v>
      </c>
      <c r="I86" s="21" t="n">
        <f aca="false">IF(ISNUMBER(SEARCH("-"&amp;$B86&amp;"-"&amp;$C86&amp;"-","-"&amp;INDEX($H$70:$H$77,MATCH(I$80,$A$70:$A$77,0))&amp;"-")),1,0)</f>
        <v>1</v>
      </c>
      <c r="J86" s="21" t="n">
        <f aca="false">IF(ISNUMBER(SEARCH("-"&amp;$B86&amp;"-"&amp;$C86&amp;"-","-"&amp;INDEX($H$70:$H$77,MATCH(J$80,$A$70:$A$77,0))&amp;"-")),1,0)</f>
        <v>0</v>
      </c>
      <c r="K86" s="21" t="n">
        <f aca="false">IF(ISNUMBER(SEARCH("-"&amp;$B86&amp;"-"&amp;$C86&amp;"-","-"&amp;INDEX($H$70:$H$77,MATCH(K$80,$A$70:$A$77,0))&amp;"-")),1,0)</f>
        <v>0</v>
      </c>
      <c r="L86" s="21" t="n">
        <f aca="false">IF(ISNUMBER(SEARCH("-"&amp;$B86&amp;"-"&amp;$C86&amp;"-","-"&amp;INDEX($H$70:$H$77,MATCH(L$80,$A$70:$A$77,0))&amp;"-")),1,0)</f>
        <v>1</v>
      </c>
      <c r="M86" s="6" t="n">
        <f aca="false">SUM(E86:L86)</f>
        <v>3</v>
      </c>
      <c r="N86" s="6" t="str">
        <f aca="false">IF(M86&gt;0,"Covered","NOT covered")</f>
        <v>Covered</v>
      </c>
    </row>
    <row r="87" customFormat="false" ht="15" hidden="false" customHeight="true" outlineLevel="0" collapsed="false">
      <c r="A87" s="6" t="str">
        <f aca="false">G42</f>
        <v>E7</v>
      </c>
      <c r="B87" s="6" t="n">
        <f aca="false">H42</f>
        <v>5</v>
      </c>
      <c r="C87" s="6" t="n">
        <f aca="false">I42</f>
        <v>7</v>
      </c>
      <c r="D87" s="6" t="str">
        <f aca="false">J42</f>
        <v>F</v>
      </c>
      <c r="E87" s="21" t="n">
        <f aca="false">IF(ISNUMBER(SEARCH("-"&amp;$B87&amp;"-"&amp;$C87&amp;"-","-"&amp;INDEX($H$70:$H$77,MATCH(E$80,$A$70:$A$77,0))&amp;"-")),1,0)</f>
        <v>1</v>
      </c>
      <c r="F87" s="21" t="n">
        <f aca="false">IF(ISNUMBER(SEARCH("-"&amp;$B87&amp;"-"&amp;$C87&amp;"-","-"&amp;INDEX($H$70:$H$77,MATCH(F$80,$A$70:$A$77,0))&amp;"-")),1,0)</f>
        <v>0</v>
      </c>
      <c r="G87" s="21" t="n">
        <f aca="false">IF(ISNUMBER(SEARCH("-"&amp;$B87&amp;"-"&amp;$C87&amp;"-","-"&amp;INDEX($H$70:$H$77,MATCH(G$80,$A$70:$A$77,0))&amp;"-")),1,0)</f>
        <v>1</v>
      </c>
      <c r="H87" s="21" t="n">
        <f aca="false">IF(ISNUMBER(SEARCH("-"&amp;$B87&amp;"-"&amp;$C87&amp;"-","-"&amp;INDEX($H$70:$H$77,MATCH(H$80,$A$70:$A$77,0))&amp;"-")),1,0)</f>
        <v>0</v>
      </c>
      <c r="I87" s="21" t="n">
        <f aca="false">IF(ISNUMBER(SEARCH("-"&amp;$B87&amp;"-"&amp;$C87&amp;"-","-"&amp;INDEX($H$70:$H$77,MATCH(I$80,$A$70:$A$77,0))&amp;"-")),1,0)</f>
        <v>0</v>
      </c>
      <c r="J87" s="21" t="n">
        <f aca="false">IF(ISNUMBER(SEARCH("-"&amp;$B87&amp;"-"&amp;$C87&amp;"-","-"&amp;INDEX($H$70:$H$77,MATCH(J$80,$A$70:$A$77,0))&amp;"-")),1,0)</f>
        <v>1</v>
      </c>
      <c r="K87" s="21" t="n">
        <f aca="false">IF(ISNUMBER(SEARCH("-"&amp;$B87&amp;"-"&amp;$C87&amp;"-","-"&amp;INDEX($H$70:$H$77,MATCH(K$80,$A$70:$A$77,0))&amp;"-")),1,0)</f>
        <v>1</v>
      </c>
      <c r="L87" s="21" t="n">
        <f aca="false">IF(ISNUMBER(SEARCH("-"&amp;$B87&amp;"-"&amp;$C87&amp;"-","-"&amp;INDEX($H$70:$H$77,MATCH(L$80,$A$70:$A$77,0))&amp;"-")),1,0)</f>
        <v>0</v>
      </c>
      <c r="M87" s="6" t="n">
        <f aca="false">SUM(E87:L87)</f>
        <v>4</v>
      </c>
      <c r="N87" s="6" t="str">
        <f aca="false">IF(M87&gt;0,"Covered","NOT covered")</f>
        <v>Covered</v>
      </c>
    </row>
    <row r="88" customFormat="false" ht="15" hidden="false" customHeight="true" outlineLevel="0" collapsed="false">
      <c r="A88" s="6" t="str">
        <f aca="false">G43</f>
        <v>E8</v>
      </c>
      <c r="B88" s="6" t="n">
        <f aca="false">H43</f>
        <v>6</v>
      </c>
      <c r="C88" s="6" t="n">
        <f aca="false">I43</f>
        <v>7</v>
      </c>
      <c r="D88" s="6" t="str">
        <f aca="false">J43</f>
        <v>-</v>
      </c>
      <c r="E88" s="21" t="n">
        <f aca="false">IF(ISNUMBER(SEARCH("-"&amp;$B88&amp;"-"&amp;$C88&amp;"-","-"&amp;INDEX($H$70:$H$77,MATCH(E$80,$A$70:$A$77,0))&amp;"-")),1,0)</f>
        <v>0</v>
      </c>
      <c r="F88" s="21" t="n">
        <f aca="false">IF(ISNUMBER(SEARCH("-"&amp;$B88&amp;"-"&amp;$C88&amp;"-","-"&amp;INDEX($H$70:$H$77,MATCH(F$80,$A$70:$A$77,0))&amp;"-")),1,0)</f>
        <v>0</v>
      </c>
      <c r="G88" s="21" t="n">
        <f aca="false">IF(ISNUMBER(SEARCH("-"&amp;$B88&amp;"-"&amp;$C88&amp;"-","-"&amp;INDEX($H$70:$H$77,MATCH(G$80,$A$70:$A$77,0))&amp;"-")),1,0)</f>
        <v>0</v>
      </c>
      <c r="H88" s="21" t="n">
        <f aca="false">IF(ISNUMBER(SEARCH("-"&amp;$B88&amp;"-"&amp;$C88&amp;"-","-"&amp;INDEX($H$70:$H$77,MATCH(H$80,$A$70:$A$77,0))&amp;"-")),1,0)</f>
        <v>1</v>
      </c>
      <c r="I88" s="21" t="n">
        <f aca="false">IF(ISNUMBER(SEARCH("-"&amp;$B88&amp;"-"&amp;$C88&amp;"-","-"&amp;INDEX($H$70:$H$77,MATCH(I$80,$A$70:$A$77,0))&amp;"-")),1,0)</f>
        <v>1</v>
      </c>
      <c r="J88" s="21" t="n">
        <f aca="false">IF(ISNUMBER(SEARCH("-"&amp;$B88&amp;"-"&amp;$C88&amp;"-","-"&amp;INDEX($H$70:$H$77,MATCH(J$80,$A$70:$A$77,0))&amp;"-")),1,0)</f>
        <v>0</v>
      </c>
      <c r="K88" s="21" t="n">
        <f aca="false">IF(ISNUMBER(SEARCH("-"&amp;$B88&amp;"-"&amp;$C88&amp;"-","-"&amp;INDEX($H$70:$H$77,MATCH(K$80,$A$70:$A$77,0))&amp;"-")),1,0)</f>
        <v>0</v>
      </c>
      <c r="L88" s="21" t="n">
        <f aca="false">IF(ISNUMBER(SEARCH("-"&amp;$B88&amp;"-"&amp;$C88&amp;"-","-"&amp;INDEX($H$70:$H$77,MATCH(L$80,$A$70:$A$77,0))&amp;"-")),1,0)</f>
        <v>1</v>
      </c>
      <c r="M88" s="6" t="n">
        <f aca="false">SUM(E88:L88)</f>
        <v>3</v>
      </c>
      <c r="N88" s="6" t="str">
        <f aca="false">IF(M88&gt;0,"Covered","NOT covered")</f>
        <v>Covered</v>
      </c>
    </row>
    <row r="89" customFormat="false" ht="15" hidden="false" customHeight="true" outlineLevel="0" collapsed="false">
      <c r="A89" s="6" t="str">
        <f aca="false">G44</f>
        <v>E9</v>
      </c>
      <c r="B89" s="6" t="n">
        <f aca="false">H44</f>
        <v>2</v>
      </c>
      <c r="C89" s="6" t="n">
        <f aca="false">I44</f>
        <v>8</v>
      </c>
      <c r="D89" s="6" t="str">
        <f aca="false">J44</f>
        <v>-</v>
      </c>
      <c r="E89" s="21" t="n">
        <f aca="false">IF(ISNUMBER(SEARCH("-"&amp;$B89&amp;"-"&amp;$C89&amp;"-","-"&amp;INDEX($H$70:$H$77,MATCH(E$80,$A$70:$A$77,0))&amp;"-")),1,0)</f>
        <v>0</v>
      </c>
      <c r="F89" s="21" t="n">
        <f aca="false">IF(ISNUMBER(SEARCH("-"&amp;$B89&amp;"-"&amp;$C89&amp;"-","-"&amp;INDEX($H$70:$H$77,MATCH(F$80,$A$70:$A$77,0))&amp;"-")),1,0)</f>
        <v>1</v>
      </c>
      <c r="G89" s="21" t="n">
        <f aca="false">IF(ISNUMBER(SEARCH("-"&amp;$B89&amp;"-"&amp;$C89&amp;"-","-"&amp;INDEX($H$70:$H$77,MATCH(G$80,$A$70:$A$77,0))&amp;"-")),1,0)</f>
        <v>0</v>
      </c>
      <c r="H89" s="21" t="n">
        <f aca="false">IF(ISNUMBER(SEARCH("-"&amp;$B89&amp;"-"&amp;$C89&amp;"-","-"&amp;INDEX($H$70:$H$77,MATCH(H$80,$A$70:$A$77,0))&amp;"-")),1,0)</f>
        <v>0</v>
      </c>
      <c r="I89" s="21" t="n">
        <f aca="false">IF(ISNUMBER(SEARCH("-"&amp;$B89&amp;"-"&amp;$C89&amp;"-","-"&amp;INDEX($H$70:$H$77,MATCH(I$80,$A$70:$A$77,0))&amp;"-")),1,0)</f>
        <v>0</v>
      </c>
      <c r="J89" s="21" t="n">
        <f aca="false">IF(ISNUMBER(SEARCH("-"&amp;$B89&amp;"-"&amp;$C89&amp;"-","-"&amp;INDEX($H$70:$H$77,MATCH(J$80,$A$70:$A$77,0))&amp;"-")),1,0)</f>
        <v>0</v>
      </c>
      <c r="K89" s="21" t="n">
        <f aca="false">IF(ISNUMBER(SEARCH("-"&amp;$B89&amp;"-"&amp;$C89&amp;"-","-"&amp;INDEX($H$70:$H$77,MATCH(K$80,$A$70:$A$77,0))&amp;"-")),1,0)</f>
        <v>0</v>
      </c>
      <c r="L89" s="21" t="n">
        <f aca="false">IF(ISNUMBER(SEARCH("-"&amp;$B89&amp;"-"&amp;$C89&amp;"-","-"&amp;INDEX($H$70:$H$77,MATCH(L$80,$A$70:$A$77,0))&amp;"-")),1,0)</f>
        <v>0</v>
      </c>
      <c r="M89" s="6" t="n">
        <f aca="false">SUM(E89:L89)</f>
        <v>1</v>
      </c>
      <c r="N89" s="6" t="str">
        <f aca="false">IF(M89&gt;0,"Covered","NOT covered")</f>
        <v>Covered</v>
      </c>
    </row>
    <row r="90" customFormat="false" ht="15" hidden="false" customHeight="true" outlineLevel="0" collapsed="false">
      <c r="A90" s="6" t="str">
        <f aca="false">G45</f>
        <v>E10</v>
      </c>
      <c r="B90" s="6" t="n">
        <f aca="false">H45</f>
        <v>7</v>
      </c>
      <c r="C90" s="6" t="n">
        <f aca="false">I45</f>
        <v>8</v>
      </c>
      <c r="D90" s="6" t="str">
        <f aca="false">J45</f>
        <v>-</v>
      </c>
      <c r="E90" s="21" t="n">
        <f aca="false">IF(ISNUMBER(SEARCH("-"&amp;$B90&amp;"-"&amp;$C90&amp;"-","-"&amp;INDEX($H$70:$H$77,MATCH(E$80,$A$70:$A$77,0))&amp;"-")),1,0)</f>
        <v>1</v>
      </c>
      <c r="F90" s="21" t="n">
        <f aca="false">IF(ISNUMBER(SEARCH("-"&amp;$B90&amp;"-"&amp;$C90&amp;"-","-"&amp;INDEX($H$70:$H$77,MATCH(F$80,$A$70:$A$77,0))&amp;"-")),1,0)</f>
        <v>0</v>
      </c>
      <c r="G90" s="21" t="n">
        <f aca="false">IF(ISNUMBER(SEARCH("-"&amp;$B90&amp;"-"&amp;$C90&amp;"-","-"&amp;INDEX($H$70:$H$77,MATCH(G$80,$A$70:$A$77,0))&amp;"-")),1,0)</f>
        <v>1</v>
      </c>
      <c r="H90" s="21" t="n">
        <f aca="false">IF(ISNUMBER(SEARCH("-"&amp;$B90&amp;"-"&amp;$C90&amp;"-","-"&amp;INDEX($H$70:$H$77,MATCH(H$80,$A$70:$A$77,0))&amp;"-")),1,0)</f>
        <v>1</v>
      </c>
      <c r="I90" s="21" t="n">
        <f aca="false">IF(ISNUMBER(SEARCH("-"&amp;$B90&amp;"-"&amp;$C90&amp;"-","-"&amp;INDEX($H$70:$H$77,MATCH(I$80,$A$70:$A$77,0))&amp;"-")),1,0)</f>
        <v>1</v>
      </c>
      <c r="J90" s="21" t="n">
        <f aca="false">IF(ISNUMBER(SEARCH("-"&amp;$B90&amp;"-"&amp;$C90&amp;"-","-"&amp;INDEX($H$70:$H$77,MATCH(J$80,$A$70:$A$77,0))&amp;"-")),1,0)</f>
        <v>1</v>
      </c>
      <c r="K90" s="21" t="n">
        <f aca="false">IF(ISNUMBER(SEARCH("-"&amp;$B90&amp;"-"&amp;$C90&amp;"-","-"&amp;INDEX($H$70:$H$77,MATCH(K$80,$A$70:$A$77,0))&amp;"-")),1,0)</f>
        <v>1</v>
      </c>
      <c r="L90" s="21" t="n">
        <f aca="false">IF(ISNUMBER(SEARCH("-"&amp;$B90&amp;"-"&amp;$C90&amp;"-","-"&amp;INDEX($H$70:$H$77,MATCH(L$80,$A$70:$A$77,0))&amp;"-")),1,0)</f>
        <v>1</v>
      </c>
      <c r="M90" s="6" t="n">
        <f aca="false">SUM(E90:L90)</f>
        <v>7</v>
      </c>
      <c r="N90" s="6" t="str">
        <f aca="false">IF(M90&gt;0,"Covered","NOT covered")</f>
        <v>Covered</v>
      </c>
    </row>
    <row r="92" customFormat="false" ht="15" hidden="false" customHeight="false" outlineLevel="0" collapsed="false">
      <c r="A92" s="5" t="s">
        <v>54</v>
      </c>
      <c r="B92" s="5" t="s">
        <v>73</v>
      </c>
      <c r="C92" s="5"/>
      <c r="D92" s="5"/>
      <c r="E92" s="5" t="s">
        <v>167</v>
      </c>
      <c r="F92" s="5" t="s">
        <v>170</v>
      </c>
      <c r="G92" s="5" t="s">
        <v>174</v>
      </c>
      <c r="H92" s="5" t="s">
        <v>177</v>
      </c>
      <c r="I92" s="5" t="s">
        <v>180</v>
      </c>
      <c r="J92" s="5" t="s">
        <v>183</v>
      </c>
      <c r="K92" s="5" t="s">
        <v>186</v>
      </c>
      <c r="L92" s="5" t="s">
        <v>189</v>
      </c>
      <c r="M92" s="5" t="s">
        <v>193</v>
      </c>
      <c r="N92" s="5" t="s">
        <v>165</v>
      </c>
    </row>
    <row r="93" customFormat="false" ht="15" hidden="false" customHeight="true" outlineLevel="0" collapsed="false">
      <c r="A93" s="6" t="n">
        <f aca="false">A36</f>
        <v>1</v>
      </c>
      <c r="B93" s="6" t="str">
        <f aca="false">C36</f>
        <v>Decision</v>
      </c>
      <c r="C93" s="22"/>
      <c r="D93" s="22"/>
      <c r="E93" s="21" t="n">
        <f aca="false">IF(ISNUMBER(SEARCH("-"&amp;$A93&amp;"-","-"&amp;INDEX($H$70:$H$77,MATCH(E$92,$A$70:$A$77,0))&amp;"-")),1,0)</f>
        <v>1</v>
      </c>
      <c r="F93" s="21" t="n">
        <f aca="false">IF(ISNUMBER(SEARCH("-"&amp;$A93&amp;"-","-"&amp;INDEX($H$70:$H$77,MATCH(F$92,$A$70:$A$77,0))&amp;"-")),1,0)</f>
        <v>1</v>
      </c>
      <c r="G93" s="21" t="n">
        <f aca="false">IF(ISNUMBER(SEARCH("-"&amp;$A93&amp;"-","-"&amp;INDEX($H$70:$H$77,MATCH(G$92,$A$70:$A$77,0))&amp;"-")),1,0)</f>
        <v>1</v>
      </c>
      <c r="H93" s="21" t="n">
        <f aca="false">IF(ISNUMBER(SEARCH("-"&amp;$A93&amp;"-","-"&amp;INDEX($H$70:$H$77,MATCH(H$92,$A$70:$A$77,0))&amp;"-")),1,0)</f>
        <v>1</v>
      </c>
      <c r="I93" s="21" t="n">
        <f aca="false">IF(ISNUMBER(SEARCH("-"&amp;$A93&amp;"-","-"&amp;INDEX($H$70:$H$77,MATCH(I$92,$A$70:$A$77,0))&amp;"-")),1,0)</f>
        <v>1</v>
      </c>
      <c r="J93" s="21" t="n">
        <f aca="false">IF(ISNUMBER(SEARCH("-"&amp;$A93&amp;"-","-"&amp;INDEX($H$70:$H$77,MATCH(J$92,$A$70:$A$77,0))&amp;"-")),1,0)</f>
        <v>1</v>
      </c>
      <c r="K93" s="21" t="n">
        <f aca="false">IF(ISNUMBER(SEARCH("-"&amp;$A93&amp;"-","-"&amp;INDEX($H$70:$H$77,MATCH(K$92,$A$70:$A$77,0))&amp;"-")),1,0)</f>
        <v>1</v>
      </c>
      <c r="L93" s="21" t="n">
        <f aca="false">IF(ISNUMBER(SEARCH("-"&amp;$A93&amp;"-","-"&amp;INDEX($H$70:$H$77,MATCH(L$92,$A$70:$A$77,0))&amp;"-")),1,0)</f>
        <v>1</v>
      </c>
      <c r="M93" s="6" t="n">
        <f aca="false">SUM(E93:L93)</f>
        <v>8</v>
      </c>
      <c r="N93" s="6" t="str">
        <f aca="false">IF(M93&gt;0,"Covered","NOT covered")</f>
        <v>Covered</v>
      </c>
    </row>
    <row r="94" customFormat="false" ht="15" hidden="false" customHeight="true" outlineLevel="0" collapsed="false">
      <c r="A94" s="6" t="n">
        <f aca="false">A37</f>
        <v>2</v>
      </c>
      <c r="B94" s="6" t="str">
        <f aca="false">C37</f>
        <v>Process</v>
      </c>
      <c r="C94" s="22"/>
      <c r="D94" s="22"/>
      <c r="E94" s="21" t="n">
        <f aca="false">IF(ISNUMBER(SEARCH("-"&amp;$A94&amp;"-","-"&amp;INDEX($H$70:$H$77,MATCH(E$92,$A$70:$A$77,0))&amp;"-")),1,0)</f>
        <v>0</v>
      </c>
      <c r="F94" s="21" t="n">
        <f aca="false">IF(ISNUMBER(SEARCH("-"&amp;$A94&amp;"-","-"&amp;INDEX($H$70:$H$77,MATCH(F$92,$A$70:$A$77,0))&amp;"-")),1,0)</f>
        <v>1</v>
      </c>
      <c r="G94" s="21" t="n">
        <f aca="false">IF(ISNUMBER(SEARCH("-"&amp;$A94&amp;"-","-"&amp;INDEX($H$70:$H$77,MATCH(G$92,$A$70:$A$77,0))&amp;"-")),1,0)</f>
        <v>0</v>
      </c>
      <c r="H94" s="21" t="n">
        <f aca="false">IF(ISNUMBER(SEARCH("-"&amp;$A94&amp;"-","-"&amp;INDEX($H$70:$H$77,MATCH(H$92,$A$70:$A$77,0))&amp;"-")),1,0)</f>
        <v>0</v>
      </c>
      <c r="I94" s="21" t="n">
        <f aca="false">IF(ISNUMBER(SEARCH("-"&amp;$A94&amp;"-","-"&amp;INDEX($H$70:$H$77,MATCH(I$92,$A$70:$A$77,0))&amp;"-")),1,0)</f>
        <v>0</v>
      </c>
      <c r="J94" s="21" t="n">
        <f aca="false">IF(ISNUMBER(SEARCH("-"&amp;$A94&amp;"-","-"&amp;INDEX($H$70:$H$77,MATCH(J$92,$A$70:$A$77,0))&amp;"-")),1,0)</f>
        <v>0</v>
      </c>
      <c r="K94" s="21" t="n">
        <f aca="false">IF(ISNUMBER(SEARCH("-"&amp;$A94&amp;"-","-"&amp;INDEX($H$70:$H$77,MATCH(K$92,$A$70:$A$77,0))&amp;"-")),1,0)</f>
        <v>0</v>
      </c>
      <c r="L94" s="21" t="n">
        <f aca="false">IF(ISNUMBER(SEARCH("-"&amp;$A94&amp;"-","-"&amp;INDEX($H$70:$H$77,MATCH(L$92,$A$70:$A$77,0))&amp;"-")),1,0)</f>
        <v>0</v>
      </c>
      <c r="M94" s="6" t="n">
        <f aca="false">SUM(E94:L94)</f>
        <v>1</v>
      </c>
      <c r="N94" s="6" t="str">
        <f aca="false">IF(M94&gt;0,"Covered","NOT covered")</f>
        <v>Covered</v>
      </c>
    </row>
    <row r="95" customFormat="false" ht="15" hidden="false" customHeight="true" outlineLevel="0" collapsed="false">
      <c r="A95" s="6" t="n">
        <f aca="false">A38</f>
        <v>3</v>
      </c>
      <c r="B95" s="6" t="str">
        <f aca="false">C38</f>
        <v>Decision</v>
      </c>
      <c r="C95" s="22"/>
      <c r="D95" s="22"/>
      <c r="E95" s="21" t="n">
        <f aca="false">IF(ISNUMBER(SEARCH("-"&amp;$A95&amp;"-","-"&amp;INDEX($H$70:$H$77,MATCH(E$92,$A$70:$A$77,0))&amp;"-")),1,0)</f>
        <v>1</v>
      </c>
      <c r="F95" s="21" t="n">
        <f aca="false">IF(ISNUMBER(SEARCH("-"&amp;$A95&amp;"-","-"&amp;INDEX($H$70:$H$77,MATCH(F$92,$A$70:$A$77,0))&amp;"-")),1,0)</f>
        <v>0</v>
      </c>
      <c r="G95" s="21" t="n">
        <f aca="false">IF(ISNUMBER(SEARCH("-"&amp;$A95&amp;"-","-"&amp;INDEX($H$70:$H$77,MATCH(G$92,$A$70:$A$77,0))&amp;"-")),1,0)</f>
        <v>1</v>
      </c>
      <c r="H95" s="21" t="n">
        <f aca="false">IF(ISNUMBER(SEARCH("-"&amp;$A95&amp;"-","-"&amp;INDEX($H$70:$H$77,MATCH(H$92,$A$70:$A$77,0))&amp;"-")),1,0)</f>
        <v>1</v>
      </c>
      <c r="I95" s="21" t="n">
        <f aca="false">IF(ISNUMBER(SEARCH("-"&amp;$A95&amp;"-","-"&amp;INDEX($H$70:$H$77,MATCH(I$92,$A$70:$A$77,0))&amp;"-")),1,0)</f>
        <v>1</v>
      </c>
      <c r="J95" s="21" t="n">
        <f aca="false">IF(ISNUMBER(SEARCH("-"&amp;$A95&amp;"-","-"&amp;INDEX($H$70:$H$77,MATCH(J$92,$A$70:$A$77,0))&amp;"-")),1,0)</f>
        <v>1</v>
      </c>
      <c r="K95" s="21" t="n">
        <f aca="false">IF(ISNUMBER(SEARCH("-"&amp;$A95&amp;"-","-"&amp;INDEX($H$70:$H$77,MATCH(K$92,$A$70:$A$77,0))&amp;"-")),1,0)</f>
        <v>1</v>
      </c>
      <c r="L95" s="21" t="n">
        <f aca="false">IF(ISNUMBER(SEARCH("-"&amp;$A95&amp;"-","-"&amp;INDEX($H$70:$H$77,MATCH(L$92,$A$70:$A$77,0))&amp;"-")),1,0)</f>
        <v>1</v>
      </c>
      <c r="M95" s="6" t="n">
        <f aca="false">SUM(E95:L95)</f>
        <v>7</v>
      </c>
      <c r="N95" s="6" t="str">
        <f aca="false">IF(M95&gt;0,"Covered","NOT covered")</f>
        <v>Covered</v>
      </c>
    </row>
    <row r="96" customFormat="false" ht="15" hidden="false" customHeight="true" outlineLevel="0" collapsed="false">
      <c r="A96" s="6" t="n">
        <f aca="false">A39</f>
        <v>4</v>
      </c>
      <c r="B96" s="6" t="str">
        <f aca="false">C39</f>
        <v>Process</v>
      </c>
      <c r="C96" s="22"/>
      <c r="D96" s="22"/>
      <c r="E96" s="21" t="n">
        <f aca="false">IF(ISNUMBER(SEARCH("-"&amp;$A96&amp;"-","-"&amp;INDEX($H$70:$H$77,MATCH(E$92,$A$70:$A$77,0))&amp;"-")),1,0)</f>
        <v>0</v>
      </c>
      <c r="F96" s="21" t="n">
        <f aca="false">IF(ISNUMBER(SEARCH("-"&amp;$A96&amp;"-","-"&amp;INDEX($H$70:$H$77,MATCH(F$92,$A$70:$A$77,0))&amp;"-")),1,0)</f>
        <v>0</v>
      </c>
      <c r="G96" s="21" t="n">
        <f aca="false">IF(ISNUMBER(SEARCH("-"&amp;$A96&amp;"-","-"&amp;INDEX($H$70:$H$77,MATCH(G$92,$A$70:$A$77,0))&amp;"-")),1,0)</f>
        <v>1</v>
      </c>
      <c r="H96" s="21" t="n">
        <f aca="false">IF(ISNUMBER(SEARCH("-"&amp;$A96&amp;"-","-"&amp;INDEX($H$70:$H$77,MATCH(H$92,$A$70:$A$77,0))&amp;"-")),1,0)</f>
        <v>0</v>
      </c>
      <c r="I96" s="21" t="n">
        <f aca="false">IF(ISNUMBER(SEARCH("-"&amp;$A96&amp;"-","-"&amp;INDEX($H$70:$H$77,MATCH(I$92,$A$70:$A$77,0))&amp;"-")),1,0)</f>
        <v>1</v>
      </c>
      <c r="J96" s="21" t="n">
        <f aca="false">IF(ISNUMBER(SEARCH("-"&amp;$A96&amp;"-","-"&amp;INDEX($H$70:$H$77,MATCH(J$92,$A$70:$A$77,0))&amp;"-")),1,0)</f>
        <v>0</v>
      </c>
      <c r="K96" s="21" t="n">
        <f aca="false">IF(ISNUMBER(SEARCH("-"&amp;$A96&amp;"-","-"&amp;INDEX($H$70:$H$77,MATCH(K$92,$A$70:$A$77,0))&amp;"-")),1,0)</f>
        <v>0</v>
      </c>
      <c r="L96" s="21" t="n">
        <f aca="false">IF(ISNUMBER(SEARCH("-"&amp;$A96&amp;"-","-"&amp;INDEX($H$70:$H$77,MATCH(L$92,$A$70:$A$77,0))&amp;"-")),1,0)</f>
        <v>0</v>
      </c>
      <c r="M96" s="6" t="n">
        <f aca="false">SUM(E96:L96)</f>
        <v>2</v>
      </c>
      <c r="N96" s="6" t="str">
        <f aca="false">IF(M96&gt;0,"Covered","NOT covered")</f>
        <v>Covered</v>
      </c>
    </row>
    <row r="97" customFormat="false" ht="15" hidden="false" customHeight="true" outlineLevel="0" collapsed="false">
      <c r="A97" s="6" t="n">
        <f aca="false">A40</f>
        <v>5</v>
      </c>
      <c r="B97" s="6" t="str">
        <f aca="false">C40</f>
        <v>Decision</v>
      </c>
      <c r="C97" s="22"/>
      <c r="D97" s="22"/>
      <c r="E97" s="21" t="n">
        <f aca="false">IF(ISNUMBER(SEARCH("-"&amp;$A97&amp;"-","-"&amp;INDEX($H$70:$H$77,MATCH(E$92,$A$70:$A$77,0))&amp;"-")),1,0)</f>
        <v>1</v>
      </c>
      <c r="F97" s="21" t="n">
        <f aca="false">IF(ISNUMBER(SEARCH("-"&amp;$A97&amp;"-","-"&amp;INDEX($H$70:$H$77,MATCH(F$92,$A$70:$A$77,0))&amp;"-")),1,0)</f>
        <v>0</v>
      </c>
      <c r="G97" s="21" t="n">
        <f aca="false">IF(ISNUMBER(SEARCH("-"&amp;$A97&amp;"-","-"&amp;INDEX($H$70:$H$77,MATCH(G$92,$A$70:$A$77,0))&amp;"-")),1,0)</f>
        <v>1</v>
      </c>
      <c r="H97" s="21" t="n">
        <f aca="false">IF(ISNUMBER(SEARCH("-"&amp;$A97&amp;"-","-"&amp;INDEX($H$70:$H$77,MATCH(H$92,$A$70:$A$77,0))&amp;"-")),1,0)</f>
        <v>1</v>
      </c>
      <c r="I97" s="21" t="n">
        <f aca="false">IF(ISNUMBER(SEARCH("-"&amp;$A97&amp;"-","-"&amp;INDEX($H$70:$H$77,MATCH(I$92,$A$70:$A$77,0))&amp;"-")),1,0)</f>
        <v>1</v>
      </c>
      <c r="J97" s="21" t="n">
        <f aca="false">IF(ISNUMBER(SEARCH("-"&amp;$A97&amp;"-","-"&amp;INDEX($H$70:$H$77,MATCH(J$92,$A$70:$A$77,0))&amp;"-")),1,0)</f>
        <v>1</v>
      </c>
      <c r="K97" s="21" t="n">
        <f aca="false">IF(ISNUMBER(SEARCH("-"&amp;$A97&amp;"-","-"&amp;INDEX($H$70:$H$77,MATCH(K$92,$A$70:$A$77,0))&amp;"-")),1,0)</f>
        <v>1</v>
      </c>
      <c r="L97" s="21" t="n">
        <f aca="false">IF(ISNUMBER(SEARCH("-"&amp;$A97&amp;"-","-"&amp;INDEX($H$70:$H$77,MATCH(L$92,$A$70:$A$77,0))&amp;"-")),1,0)</f>
        <v>1</v>
      </c>
      <c r="M97" s="6" t="n">
        <f aca="false">SUM(E97:L97)</f>
        <v>7</v>
      </c>
      <c r="N97" s="6" t="str">
        <f aca="false">IF(M97&gt;0,"Covered","NOT covered")</f>
        <v>Covered</v>
      </c>
    </row>
    <row r="98" customFormat="false" ht="15" hidden="false" customHeight="true" outlineLevel="0" collapsed="false">
      <c r="A98" s="6" t="n">
        <f aca="false">A41</f>
        <v>6</v>
      </c>
      <c r="B98" s="6" t="str">
        <f aca="false">C41</f>
        <v>Process</v>
      </c>
      <c r="C98" s="22"/>
      <c r="D98" s="22"/>
      <c r="E98" s="21" t="n">
        <f aca="false">IF(ISNUMBER(SEARCH("-"&amp;$A98&amp;"-","-"&amp;INDEX($H$70:$H$77,MATCH(E$92,$A$70:$A$77,0))&amp;"-")),1,0)</f>
        <v>0</v>
      </c>
      <c r="F98" s="21" t="n">
        <f aca="false">IF(ISNUMBER(SEARCH("-"&amp;$A98&amp;"-","-"&amp;INDEX($H$70:$H$77,MATCH(F$92,$A$70:$A$77,0))&amp;"-")),1,0)</f>
        <v>0</v>
      </c>
      <c r="G98" s="21" t="n">
        <f aca="false">IF(ISNUMBER(SEARCH("-"&amp;$A98&amp;"-","-"&amp;INDEX($H$70:$H$77,MATCH(G$92,$A$70:$A$77,0))&amp;"-")),1,0)</f>
        <v>0</v>
      </c>
      <c r="H98" s="21" t="n">
        <f aca="false">IF(ISNUMBER(SEARCH("-"&amp;$A98&amp;"-","-"&amp;INDEX($H$70:$H$77,MATCH(H$92,$A$70:$A$77,0))&amp;"-")),1,0)</f>
        <v>1</v>
      </c>
      <c r="I98" s="21" t="n">
        <f aca="false">IF(ISNUMBER(SEARCH("-"&amp;$A98&amp;"-","-"&amp;INDEX($H$70:$H$77,MATCH(I$92,$A$70:$A$77,0))&amp;"-")),1,0)</f>
        <v>1</v>
      </c>
      <c r="J98" s="21" t="n">
        <f aca="false">IF(ISNUMBER(SEARCH("-"&amp;$A98&amp;"-","-"&amp;INDEX($H$70:$H$77,MATCH(J$92,$A$70:$A$77,0))&amp;"-")),1,0)</f>
        <v>0</v>
      </c>
      <c r="K98" s="21" t="n">
        <f aca="false">IF(ISNUMBER(SEARCH("-"&amp;$A98&amp;"-","-"&amp;INDEX($H$70:$H$77,MATCH(K$92,$A$70:$A$77,0))&amp;"-")),1,0)</f>
        <v>0</v>
      </c>
      <c r="L98" s="21" t="n">
        <f aca="false">IF(ISNUMBER(SEARCH("-"&amp;$A98&amp;"-","-"&amp;INDEX($H$70:$H$77,MATCH(L$92,$A$70:$A$77,0))&amp;"-")),1,0)</f>
        <v>1</v>
      </c>
      <c r="M98" s="6" t="n">
        <f aca="false">SUM(E98:L98)</f>
        <v>3</v>
      </c>
      <c r="N98" s="6" t="str">
        <f aca="false">IF(M98&gt;0,"Covered","NOT covered")</f>
        <v>Covered</v>
      </c>
    </row>
    <row r="99" customFormat="false" ht="15" hidden="false" customHeight="true" outlineLevel="0" collapsed="false">
      <c r="A99" s="6" t="n">
        <f aca="false">A42</f>
        <v>7</v>
      </c>
      <c r="B99" s="6" t="str">
        <f aca="false">C42</f>
        <v>Process</v>
      </c>
      <c r="C99" s="22"/>
      <c r="D99" s="22"/>
      <c r="E99" s="21" t="n">
        <f aca="false">IF(ISNUMBER(SEARCH("-"&amp;$A99&amp;"-","-"&amp;INDEX($H$70:$H$77,MATCH(E$92,$A$70:$A$77,0))&amp;"-")),1,0)</f>
        <v>1</v>
      </c>
      <c r="F99" s="21" t="n">
        <f aca="false">IF(ISNUMBER(SEARCH("-"&amp;$A99&amp;"-","-"&amp;INDEX($H$70:$H$77,MATCH(F$92,$A$70:$A$77,0))&amp;"-")),1,0)</f>
        <v>0</v>
      </c>
      <c r="G99" s="21" t="n">
        <f aca="false">IF(ISNUMBER(SEARCH("-"&amp;$A99&amp;"-","-"&amp;INDEX($H$70:$H$77,MATCH(G$92,$A$70:$A$77,0))&amp;"-")),1,0)</f>
        <v>1</v>
      </c>
      <c r="H99" s="21" t="n">
        <f aca="false">IF(ISNUMBER(SEARCH("-"&amp;$A99&amp;"-","-"&amp;INDEX($H$70:$H$77,MATCH(H$92,$A$70:$A$77,0))&amp;"-")),1,0)</f>
        <v>1</v>
      </c>
      <c r="I99" s="21" t="n">
        <f aca="false">IF(ISNUMBER(SEARCH("-"&amp;$A99&amp;"-","-"&amp;INDEX($H$70:$H$77,MATCH(I$92,$A$70:$A$77,0))&amp;"-")),1,0)</f>
        <v>1</v>
      </c>
      <c r="J99" s="21" t="n">
        <f aca="false">IF(ISNUMBER(SEARCH("-"&amp;$A99&amp;"-","-"&amp;INDEX($H$70:$H$77,MATCH(J$92,$A$70:$A$77,0))&amp;"-")),1,0)</f>
        <v>1</v>
      </c>
      <c r="K99" s="21" t="n">
        <f aca="false">IF(ISNUMBER(SEARCH("-"&amp;$A99&amp;"-","-"&amp;INDEX($H$70:$H$77,MATCH(K$92,$A$70:$A$77,0))&amp;"-")),1,0)</f>
        <v>1</v>
      </c>
      <c r="L99" s="21" t="n">
        <f aca="false">IF(ISNUMBER(SEARCH("-"&amp;$A99&amp;"-","-"&amp;INDEX($H$70:$H$77,MATCH(L$92,$A$70:$A$77,0))&amp;"-")),1,0)</f>
        <v>1</v>
      </c>
      <c r="M99" s="6" t="n">
        <f aca="false">SUM(E99:L99)</f>
        <v>7</v>
      </c>
      <c r="N99" s="6" t="str">
        <f aca="false">IF(M99&gt;0,"Covered","NOT covered")</f>
        <v>Covered</v>
      </c>
    </row>
    <row r="100" customFormat="false" ht="15" hidden="false" customHeight="true" outlineLevel="0" collapsed="false">
      <c r="A100" s="6" t="n">
        <f aca="false">A43</f>
        <v>8</v>
      </c>
      <c r="B100" s="6" t="str">
        <f aca="false">C43</f>
        <v>Exit</v>
      </c>
      <c r="C100" s="22"/>
      <c r="D100" s="22"/>
      <c r="E100" s="21" t="n">
        <f aca="false">IF(ISNUMBER(SEARCH("-"&amp;$A100&amp;"-","-"&amp;INDEX($H$70:$H$77,MATCH(E$92,$A$70:$A$77,0))&amp;"-")),1,0)</f>
        <v>1</v>
      </c>
      <c r="F100" s="21" t="n">
        <f aca="false">IF(ISNUMBER(SEARCH("-"&amp;$A100&amp;"-","-"&amp;INDEX($H$70:$H$77,MATCH(F$92,$A$70:$A$77,0))&amp;"-")),1,0)</f>
        <v>1</v>
      </c>
      <c r="G100" s="21" t="n">
        <f aca="false">IF(ISNUMBER(SEARCH("-"&amp;$A100&amp;"-","-"&amp;INDEX($H$70:$H$77,MATCH(G$92,$A$70:$A$77,0))&amp;"-")),1,0)</f>
        <v>1</v>
      </c>
      <c r="H100" s="21" t="n">
        <f aca="false">IF(ISNUMBER(SEARCH("-"&amp;$A100&amp;"-","-"&amp;INDEX($H$70:$H$77,MATCH(H$92,$A$70:$A$77,0))&amp;"-")),1,0)</f>
        <v>1</v>
      </c>
      <c r="I100" s="21" t="n">
        <f aca="false">IF(ISNUMBER(SEARCH("-"&amp;$A100&amp;"-","-"&amp;INDEX($H$70:$H$77,MATCH(I$92,$A$70:$A$77,0))&amp;"-")),1,0)</f>
        <v>1</v>
      </c>
      <c r="J100" s="21" t="n">
        <f aca="false">IF(ISNUMBER(SEARCH("-"&amp;$A100&amp;"-","-"&amp;INDEX($H$70:$H$77,MATCH(J$92,$A$70:$A$77,0))&amp;"-")),1,0)</f>
        <v>1</v>
      </c>
      <c r="K100" s="21" t="n">
        <f aca="false">IF(ISNUMBER(SEARCH("-"&amp;$A100&amp;"-","-"&amp;INDEX($H$70:$H$77,MATCH(K$92,$A$70:$A$77,0))&amp;"-")),1,0)</f>
        <v>1</v>
      </c>
      <c r="L100" s="21" t="n">
        <f aca="false">IF(ISNUMBER(SEARCH("-"&amp;$A100&amp;"-","-"&amp;INDEX($H$70:$H$77,MATCH(L$92,$A$70:$A$77,0))&amp;"-")),1,0)</f>
        <v>1</v>
      </c>
      <c r="M100" s="6" t="n">
        <f aca="false">SUM(E100:L100)</f>
        <v>8</v>
      </c>
      <c r="N100" s="6" t="str">
        <f aca="false">IF(M100&gt;0,"Covered","NOT covered")</f>
        <v>Covered</v>
      </c>
    </row>
    <row r="102" customFormat="false" ht="15" hidden="false" customHeight="true" outlineLevel="0" collapsed="false">
      <c r="A102" s="3" t="s">
        <v>194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customFormat="false" ht="15" hidden="false" customHeight="true" outlineLevel="0" collapsed="false">
      <c r="A103" s="7" t="s">
        <v>195</v>
      </c>
      <c r="B103" s="7"/>
      <c r="C103" s="7"/>
      <c r="D103" s="23" t="n">
        <f aca="false">COUNTIF(N93:N100,"Covered")/COUNTA(A93:A100)</f>
        <v>1</v>
      </c>
    </row>
    <row r="104" customFormat="false" ht="15" hidden="false" customHeight="true" outlineLevel="0" collapsed="false">
      <c r="A104" s="7" t="s">
        <v>196</v>
      </c>
      <c r="B104" s="7"/>
      <c r="C104" s="7"/>
      <c r="D104" s="23" t="n">
        <f aca="false">(COUNTIFS(D81:D90,"T",N81:N90,"Covered")+COUNTIFS(D81:D90,"F",N81:N90,"Covered"))/(COUNTIF(D81:D90,"T")+COUNTIF(D81:D90,"F"))</f>
        <v>1</v>
      </c>
    </row>
    <row r="105" customFormat="false" ht="15" hidden="false" customHeight="true" outlineLevel="0" collapsed="false">
      <c r="A105" s="7" t="s">
        <v>197</v>
      </c>
      <c r="B105" s="7"/>
      <c r="C105" s="7"/>
      <c r="D105" s="23" t="n">
        <f aca="false">COUNTIF(N81:N90,"Covered")/COUNTA(A81:A90)</f>
        <v>1</v>
      </c>
    </row>
    <row r="106" customFormat="false" ht="15" hidden="false" customHeight="true" outlineLevel="0" collapsed="false">
      <c r="A106" s="7" t="s">
        <v>198</v>
      </c>
      <c r="B106" s="7"/>
      <c r="C106" s="7"/>
      <c r="D106" s="11" t="str">
        <f aca="false">COUNTIF(G70:G77,"Pass")&amp;" / "&amp;COUNTA(A70:A77)</f>
        <v>8 / 8</v>
      </c>
    </row>
  </sheetData>
  <mergeCells count="41">
    <mergeCell ref="A4:E4"/>
    <mergeCell ref="A5:E5"/>
    <mergeCell ref="A6:E6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E59:J59"/>
    <mergeCell ref="K59:N59"/>
    <mergeCell ref="E60:J60"/>
    <mergeCell ref="K60:N60"/>
    <mergeCell ref="E61:J61"/>
    <mergeCell ref="K61:N61"/>
    <mergeCell ref="E62:J62"/>
    <mergeCell ref="K62:N62"/>
    <mergeCell ref="E63:J63"/>
    <mergeCell ref="K63:N63"/>
    <mergeCell ref="E64:J64"/>
    <mergeCell ref="K64:N64"/>
    <mergeCell ref="A65:C65"/>
    <mergeCell ref="A66:C66"/>
    <mergeCell ref="H69:L69"/>
    <mergeCell ref="H70:L70"/>
    <mergeCell ref="H71:L71"/>
    <mergeCell ref="H72:L72"/>
    <mergeCell ref="H73:L73"/>
    <mergeCell ref="H74:L74"/>
    <mergeCell ref="H75:L75"/>
    <mergeCell ref="H76:L76"/>
    <mergeCell ref="H77:L77"/>
    <mergeCell ref="A103:C103"/>
    <mergeCell ref="A104:C104"/>
    <mergeCell ref="A105:C105"/>
    <mergeCell ref="A106:C106"/>
  </mergeCells>
  <conditionalFormatting sqref="G70:G7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E81:L90">
    <cfRule type="cellIs" priority="4" operator="equal" aboveAverage="0" equalAverage="0" bottom="0" percent="0" rank="0" text="" dxfId="0">
      <formula>1</formula>
    </cfRule>
  </conditionalFormatting>
  <conditionalFormatting sqref="E93:L100">
    <cfRule type="cellIs" priority="5" operator="equal" aboveAverage="0" equalAverage="0" bottom="0" percent="0" rank="0" text="" dxfId="0">
      <formula>1</formula>
    </cfRule>
  </conditionalFormatting>
  <conditionalFormatting sqref="N81:N90">
    <cfRule type="cellIs" priority="6" operator="equal" aboveAverage="0" equalAverage="0" bottom="0" percent="0" rank="0" text="" dxfId="1">
      <formula>"NOT covered"</formula>
    </cfRule>
  </conditionalFormatting>
  <conditionalFormatting sqref="N93:N100">
    <cfRule type="cellIs" priority="7" operator="equal" aboveAverage="0" equalAverage="0" bottom="0" percent="0" rank="0" text="" dxfId="1">
      <formula>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15" min="15" style="0" width="13"/>
  </cols>
  <sheetData>
    <row r="1" customFormat="false" ht="18" hidden="false" customHeight="tru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30" hidden="false" customHeight="true" outlineLevel="0" collapsed="false">
      <c r="A4" s="12" t="s">
        <v>201</v>
      </c>
      <c r="B4" s="12"/>
      <c r="C4" s="12"/>
      <c r="D4" s="12"/>
      <c r="E4" s="12"/>
    </row>
    <row r="5" customFormat="false" ht="30" hidden="false" customHeight="true" outlineLevel="0" collapsed="false">
      <c r="A5" s="12" t="s">
        <v>202</v>
      </c>
      <c r="B5" s="12"/>
      <c r="C5" s="12"/>
      <c r="D5" s="12"/>
      <c r="E5" s="12"/>
    </row>
    <row r="6" customFormat="false" ht="30" hidden="false" customHeight="true" outlineLevel="0" collapsed="false">
      <c r="A6" s="12" t="s">
        <v>203</v>
      </c>
      <c r="B6" s="12"/>
      <c r="C6" s="12"/>
      <c r="D6" s="12"/>
      <c r="E6" s="12"/>
    </row>
    <row r="8" customFormat="false" ht="15" hidden="false" customHeight="true" outlineLevel="0" collapsed="false">
      <c r="A8" s="3" t="s">
        <v>51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5" t="s">
        <v>52</v>
      </c>
      <c r="B9" s="5" t="s">
        <v>53</v>
      </c>
      <c r="C9" s="5" t="s">
        <v>54</v>
      </c>
    </row>
    <row r="10" customFormat="false" ht="15" hidden="false" customHeight="true" outlineLevel="0" collapsed="false">
      <c r="A10" s="6" t="n">
        <v>1</v>
      </c>
      <c r="B10" s="13" t="s">
        <v>204</v>
      </c>
      <c r="C10" s="6" t="s">
        <v>56</v>
      </c>
    </row>
    <row r="11" customFormat="false" ht="15" hidden="false" customHeight="true" outlineLevel="0" collapsed="false">
      <c r="A11" s="6" t="n">
        <v>2</v>
      </c>
      <c r="B11" s="13" t="s">
        <v>205</v>
      </c>
      <c r="C11" s="6" t="s">
        <v>58</v>
      </c>
    </row>
    <row r="12" customFormat="false" ht="15" hidden="false" customHeight="true" outlineLevel="0" collapsed="false">
      <c r="A12" s="6" t="n">
        <v>3</v>
      </c>
      <c r="B12" s="13" t="s">
        <v>206</v>
      </c>
      <c r="C12" s="6" t="s">
        <v>60</v>
      </c>
    </row>
    <row r="13" customFormat="false" ht="15" hidden="false" customHeight="true" outlineLevel="0" collapsed="false">
      <c r="A13" s="6" t="n">
        <v>4</v>
      </c>
      <c r="B13" s="13" t="s">
        <v>207</v>
      </c>
      <c r="C13" s="6" t="s">
        <v>62</v>
      </c>
    </row>
    <row r="14" customFormat="false" ht="15" hidden="false" customHeight="true" outlineLevel="0" collapsed="false">
      <c r="A14" s="6" t="n">
        <v>5</v>
      </c>
      <c r="B14" s="13" t="s">
        <v>208</v>
      </c>
      <c r="C14" s="6" t="s">
        <v>64</v>
      </c>
    </row>
    <row r="15" customFormat="false" ht="15" hidden="false" customHeight="true" outlineLevel="0" collapsed="false">
      <c r="A15" s="6" t="n">
        <v>6</v>
      </c>
      <c r="B15" s="13" t="s">
        <v>209</v>
      </c>
      <c r="C15" s="6" t="s">
        <v>66</v>
      </c>
    </row>
    <row r="16" customFormat="false" ht="15" hidden="false" customHeight="true" outlineLevel="0" collapsed="false">
      <c r="A16" s="6" t="n">
        <v>7</v>
      </c>
      <c r="B16" s="13" t="s">
        <v>210</v>
      </c>
      <c r="C16" s="6" t="s">
        <v>68</v>
      </c>
    </row>
    <row r="17" customFormat="false" ht="15" hidden="false" customHeight="true" outlineLevel="0" collapsed="false">
      <c r="A17" s="6" t="n">
        <v>8</v>
      </c>
      <c r="B17" s="13" t="s">
        <v>211</v>
      </c>
      <c r="C17" s="6" t="s">
        <v>70</v>
      </c>
    </row>
    <row r="34" customFormat="false" ht="15" hidden="false" customHeight="true" outlineLevel="0" collapsed="false">
      <c r="A34" s="3" t="s">
        <v>71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true" outlineLevel="0" collapsed="false">
      <c r="A35" s="5" t="s">
        <v>54</v>
      </c>
      <c r="B35" s="5" t="s">
        <v>72</v>
      </c>
      <c r="C35" s="5" t="s">
        <v>73</v>
      </c>
      <c r="D35" s="5" t="s">
        <v>74</v>
      </c>
      <c r="E35" s="5" t="s">
        <v>75</v>
      </c>
      <c r="G35" s="5" t="s">
        <v>76</v>
      </c>
      <c r="H35" s="5" t="s">
        <v>77</v>
      </c>
      <c r="I35" s="5" t="s">
        <v>78</v>
      </c>
      <c r="J35" s="5" t="s">
        <v>79</v>
      </c>
      <c r="K35" s="5" t="s">
        <v>80</v>
      </c>
      <c r="L35" s="5"/>
      <c r="M35" s="5"/>
      <c r="N35" s="5"/>
    </row>
    <row r="36" customFormat="false" ht="15" hidden="false" customHeight="true" outlineLevel="0" collapsed="false">
      <c r="A36" s="14" t="n">
        <v>1</v>
      </c>
      <c r="B36" s="15" t="s">
        <v>212</v>
      </c>
      <c r="C36" s="14" t="s">
        <v>82</v>
      </c>
      <c r="D36" s="14" t="n">
        <f aca="false">COUNTIF($H$36:$H$45,A36)</f>
        <v>2</v>
      </c>
      <c r="E36" s="14" t="n">
        <f aca="false">COUNTIF($I$36:$I$45,A36)</f>
        <v>0</v>
      </c>
      <c r="G36" s="6" t="s">
        <v>83</v>
      </c>
      <c r="H36" s="6" t="n">
        <v>1</v>
      </c>
      <c r="I36" s="6" t="n">
        <v>2</v>
      </c>
      <c r="J36" s="6" t="s">
        <v>84</v>
      </c>
      <c r="K36" s="8" t="s">
        <v>213</v>
      </c>
      <c r="L36" s="8"/>
      <c r="M36" s="8"/>
      <c r="N36" s="8"/>
    </row>
    <row r="37" customFormat="false" ht="15" hidden="false" customHeight="true" outlineLevel="0" collapsed="false">
      <c r="A37" s="6" t="n">
        <v>2</v>
      </c>
      <c r="B37" s="8" t="s">
        <v>214</v>
      </c>
      <c r="C37" s="6" t="s">
        <v>87</v>
      </c>
      <c r="D37" s="6" t="n">
        <f aca="false">COUNTIF($H$36:$H$45,A37)</f>
        <v>1</v>
      </c>
      <c r="E37" s="6" t="n">
        <f aca="false">COUNTIF($I$36:$I$45,A37)</f>
        <v>1</v>
      </c>
      <c r="G37" s="6" t="s">
        <v>88</v>
      </c>
      <c r="H37" s="6" t="n">
        <v>1</v>
      </c>
      <c r="I37" s="6" t="n">
        <v>3</v>
      </c>
      <c r="J37" s="6" t="s">
        <v>89</v>
      </c>
      <c r="K37" s="8" t="s">
        <v>215</v>
      </c>
      <c r="L37" s="8"/>
      <c r="M37" s="8"/>
      <c r="N37" s="8"/>
    </row>
    <row r="38" customFormat="false" ht="15" hidden="false" customHeight="true" outlineLevel="0" collapsed="false">
      <c r="A38" s="14" t="n">
        <v>3</v>
      </c>
      <c r="B38" s="15" t="s">
        <v>216</v>
      </c>
      <c r="C38" s="14" t="s">
        <v>82</v>
      </c>
      <c r="D38" s="14" t="n">
        <f aca="false">COUNTIF($H$36:$H$45,A38)</f>
        <v>2</v>
      </c>
      <c r="E38" s="14" t="n">
        <f aca="false">COUNTIF($I$36:$I$45,A38)</f>
        <v>1</v>
      </c>
      <c r="G38" s="6" t="s">
        <v>92</v>
      </c>
      <c r="H38" s="6" t="n">
        <v>3</v>
      </c>
      <c r="I38" s="6" t="n">
        <v>4</v>
      </c>
      <c r="J38" s="6" t="s">
        <v>84</v>
      </c>
      <c r="K38" s="8" t="s">
        <v>217</v>
      </c>
      <c r="L38" s="8"/>
      <c r="M38" s="8"/>
      <c r="N38" s="8"/>
    </row>
    <row r="39" customFormat="false" ht="15" hidden="false" customHeight="true" outlineLevel="0" collapsed="false">
      <c r="A39" s="6" t="n">
        <v>4</v>
      </c>
      <c r="B39" s="8" t="s">
        <v>218</v>
      </c>
      <c r="C39" s="6" t="s">
        <v>87</v>
      </c>
      <c r="D39" s="6" t="n">
        <f aca="false">COUNTIF($H$36:$H$45,A39)</f>
        <v>1</v>
      </c>
      <c r="E39" s="6" t="n">
        <f aca="false">COUNTIF($I$36:$I$45,A39)</f>
        <v>1</v>
      </c>
      <c r="G39" s="6" t="s">
        <v>95</v>
      </c>
      <c r="H39" s="6" t="n">
        <v>3</v>
      </c>
      <c r="I39" s="6" t="n">
        <v>5</v>
      </c>
      <c r="J39" s="6" t="s">
        <v>89</v>
      </c>
      <c r="K39" s="8" t="s">
        <v>219</v>
      </c>
      <c r="L39" s="8"/>
      <c r="M39" s="8"/>
      <c r="N39" s="8"/>
    </row>
    <row r="40" customFormat="false" ht="15" hidden="false" customHeight="true" outlineLevel="0" collapsed="false">
      <c r="A40" s="14" t="n">
        <v>5</v>
      </c>
      <c r="B40" s="15" t="s">
        <v>220</v>
      </c>
      <c r="C40" s="14" t="s">
        <v>82</v>
      </c>
      <c r="D40" s="14" t="n">
        <f aca="false">COUNTIF($H$36:$H$45,A40)</f>
        <v>2</v>
      </c>
      <c r="E40" s="14" t="n">
        <f aca="false">COUNTIF($I$36:$I$45,A40)</f>
        <v>1</v>
      </c>
      <c r="G40" s="6" t="s">
        <v>98</v>
      </c>
      <c r="H40" s="6" t="n">
        <v>5</v>
      </c>
      <c r="I40" s="6" t="n">
        <v>6</v>
      </c>
      <c r="J40" s="6" t="s">
        <v>84</v>
      </c>
      <c r="K40" s="8" t="s">
        <v>221</v>
      </c>
      <c r="L40" s="8"/>
      <c r="M40" s="8"/>
      <c r="N40" s="8"/>
    </row>
    <row r="41" customFormat="false" ht="15" hidden="false" customHeight="true" outlineLevel="0" collapsed="false">
      <c r="A41" s="6" t="n">
        <v>6</v>
      </c>
      <c r="B41" s="8" t="s">
        <v>222</v>
      </c>
      <c r="C41" s="6" t="s">
        <v>87</v>
      </c>
      <c r="D41" s="6" t="n">
        <f aca="false">COUNTIF($H$36:$H$45,A41)</f>
        <v>1</v>
      </c>
      <c r="E41" s="6" t="n">
        <f aca="false">COUNTIF($I$36:$I$45,A41)</f>
        <v>1</v>
      </c>
      <c r="G41" s="6" t="s">
        <v>101</v>
      </c>
      <c r="H41" s="6" t="n">
        <v>5</v>
      </c>
      <c r="I41" s="6" t="n">
        <v>7</v>
      </c>
      <c r="J41" s="6" t="s">
        <v>89</v>
      </c>
      <c r="K41" s="8" t="s">
        <v>223</v>
      </c>
      <c r="L41" s="8"/>
      <c r="M41" s="8"/>
      <c r="N41" s="8"/>
    </row>
    <row r="42" customFormat="false" ht="15" hidden="false" customHeight="true" outlineLevel="0" collapsed="false">
      <c r="A42" s="6" t="n">
        <v>7</v>
      </c>
      <c r="B42" s="8" t="s">
        <v>224</v>
      </c>
      <c r="C42" s="6" t="s">
        <v>87</v>
      </c>
      <c r="D42" s="6" t="n">
        <f aca="false">COUNTIF($H$36:$H$45,A42)</f>
        <v>1</v>
      </c>
      <c r="E42" s="6" t="n">
        <f aca="false">COUNTIF($I$36:$I$45,A42)</f>
        <v>1</v>
      </c>
      <c r="G42" s="6" t="s">
        <v>104</v>
      </c>
      <c r="H42" s="6" t="n">
        <v>2</v>
      </c>
      <c r="I42" s="6" t="n">
        <v>8</v>
      </c>
      <c r="J42" s="6" t="s">
        <v>56</v>
      </c>
      <c r="K42" s="8" t="s">
        <v>106</v>
      </c>
      <c r="L42" s="8"/>
      <c r="M42" s="8"/>
      <c r="N42" s="8"/>
    </row>
    <row r="43" customFormat="false" ht="15" hidden="false" customHeight="true" outlineLevel="0" collapsed="false">
      <c r="A43" s="6" t="n">
        <v>8</v>
      </c>
      <c r="B43" s="8" t="s">
        <v>106</v>
      </c>
      <c r="C43" s="6" t="s">
        <v>107</v>
      </c>
      <c r="D43" s="6" t="n">
        <f aca="false">COUNTIF($H$36:$H$45,A43)</f>
        <v>0</v>
      </c>
      <c r="E43" s="6" t="n">
        <f aca="false">COUNTIF($I$36:$I$45,A43)</f>
        <v>4</v>
      </c>
      <c r="G43" s="6" t="s">
        <v>108</v>
      </c>
      <c r="H43" s="6" t="n">
        <v>4</v>
      </c>
      <c r="I43" s="6" t="n">
        <v>8</v>
      </c>
      <c r="J43" s="6" t="s">
        <v>56</v>
      </c>
      <c r="K43" s="8" t="s">
        <v>106</v>
      </c>
      <c r="L43" s="8"/>
      <c r="M43" s="8"/>
      <c r="N43" s="8"/>
    </row>
    <row r="44" customFormat="false" ht="15" hidden="false" customHeight="true" outlineLevel="0" collapsed="false">
      <c r="G44" s="6" t="s">
        <v>110</v>
      </c>
      <c r="H44" s="6" t="n">
        <v>6</v>
      </c>
      <c r="I44" s="6" t="n">
        <v>8</v>
      </c>
      <c r="J44" s="6" t="s">
        <v>56</v>
      </c>
      <c r="K44" s="8" t="s">
        <v>106</v>
      </c>
      <c r="L44" s="8"/>
      <c r="M44" s="8"/>
      <c r="N44" s="8"/>
    </row>
    <row r="45" customFormat="false" ht="15" hidden="false" customHeight="true" outlineLevel="0" collapsed="false">
      <c r="G45" s="6" t="s">
        <v>111</v>
      </c>
      <c r="H45" s="6" t="n">
        <v>7</v>
      </c>
      <c r="I45" s="6" t="n">
        <v>8</v>
      </c>
      <c r="J45" s="6" t="s">
        <v>56</v>
      </c>
      <c r="K45" s="8" t="s">
        <v>106</v>
      </c>
      <c r="L45" s="8"/>
      <c r="M45" s="8"/>
      <c r="N45" s="8"/>
    </row>
    <row r="47" customFormat="false" ht="15" hidden="false" customHeight="true" outlineLevel="0" collapsed="false">
      <c r="A47" s="3" t="s">
        <v>112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customFormat="false" ht="23.85" hidden="false" customHeight="false" outlineLevel="0" collapsed="false">
      <c r="A48" s="5" t="s">
        <v>113</v>
      </c>
      <c r="B48" s="5" t="s">
        <v>114</v>
      </c>
      <c r="C48" s="5" t="s">
        <v>115</v>
      </c>
    </row>
    <row r="49" customFormat="false" ht="23.25" hidden="false" customHeight="true" outlineLevel="0" collapsed="false">
      <c r="A49" s="8" t="s">
        <v>116</v>
      </c>
      <c r="B49" s="8" t="s">
        <v>117</v>
      </c>
      <c r="C49" s="11" t="n">
        <f aca="false">COUNTA(A36:A43)</f>
        <v>8</v>
      </c>
    </row>
    <row r="50" customFormat="false" ht="23.25" hidden="false" customHeight="true" outlineLevel="0" collapsed="false">
      <c r="A50" s="8" t="s">
        <v>118</v>
      </c>
      <c r="B50" s="8" t="s">
        <v>119</v>
      </c>
      <c r="C50" s="11" t="n">
        <f aca="false">COUNTA(G36:G45)</f>
        <v>10</v>
      </c>
    </row>
    <row r="51" customFormat="false" ht="23.25" hidden="false" customHeight="true" outlineLevel="0" collapsed="false">
      <c r="A51" s="8" t="s">
        <v>120</v>
      </c>
      <c r="B51" s="8" t="s">
        <v>121</v>
      </c>
      <c r="C51" s="11" t="n">
        <f aca="false">COUNTIF(C36:C43,"Decision")</f>
        <v>3</v>
      </c>
    </row>
    <row r="52" customFormat="false" ht="23.25" hidden="false" customHeight="true" outlineLevel="0" collapsed="false">
      <c r="A52" s="8" t="s">
        <v>122</v>
      </c>
      <c r="B52" s="8" t="s">
        <v>123</v>
      </c>
      <c r="C52" s="11" t="n">
        <f aca="false">C50-C49+2</f>
        <v>4</v>
      </c>
    </row>
    <row r="53" customFormat="false" ht="23.25" hidden="false" customHeight="true" outlineLevel="0" collapsed="false">
      <c r="A53" s="8" t="s">
        <v>124</v>
      </c>
      <c r="B53" s="8" t="s">
        <v>125</v>
      </c>
      <c r="C53" s="11" t="n">
        <f aca="false">C51+1</f>
        <v>4</v>
      </c>
    </row>
    <row r="54" customFormat="false" ht="23.25" hidden="false" customHeight="true" outlineLevel="0" collapsed="false">
      <c r="A54" s="8" t="s">
        <v>126</v>
      </c>
      <c r="B54" s="8" t="s">
        <v>127</v>
      </c>
      <c r="C54" s="11" t="str">
        <f aca="false">IF(C52=C53,"Yes","MISMATCH")</f>
        <v>Yes</v>
      </c>
    </row>
    <row r="55" customFormat="false" ht="30" hidden="false" customHeight="true" outlineLevel="0" collapsed="false">
      <c r="A55" s="7" t="s">
        <v>128</v>
      </c>
      <c r="B55" s="8" t="s">
        <v>129</v>
      </c>
      <c r="C55" s="16" t="n">
        <f aca="false">C52</f>
        <v>4</v>
      </c>
    </row>
    <row r="56" customFormat="false" ht="23.25" hidden="false" customHeight="true" outlineLevel="0" collapsed="false">
      <c r="A56" s="8" t="s">
        <v>130</v>
      </c>
      <c r="B56" s="8" t="s">
        <v>131</v>
      </c>
      <c r="C56" s="11" t="str">
        <f aca="false">IF(C55&lt;=10,"Simple",IF(C55&lt;=20,"Moderate",IF(C55&lt;=50,"Complex","Unstable")))</f>
        <v>Simple</v>
      </c>
    </row>
    <row r="58" customFormat="false" ht="15" hidden="false" customHeight="true" outlineLevel="0" collapsed="false">
      <c r="A58" s="3" t="s">
        <v>132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ustomFormat="false" ht="15" hidden="false" customHeight="true" outlineLevel="0" collapsed="false">
      <c r="A59" s="5" t="s">
        <v>133</v>
      </c>
      <c r="B59" s="5" t="s">
        <v>134</v>
      </c>
      <c r="C59" s="5" t="s">
        <v>73</v>
      </c>
      <c r="D59" s="5" t="s">
        <v>135</v>
      </c>
      <c r="E59" s="5" t="s">
        <v>136</v>
      </c>
      <c r="F59" s="5"/>
      <c r="G59" s="5"/>
      <c r="H59" s="5"/>
      <c r="I59" s="5"/>
      <c r="J59" s="5"/>
      <c r="K59" s="5" t="s">
        <v>137</v>
      </c>
      <c r="L59" s="5"/>
      <c r="M59" s="5"/>
      <c r="N59" s="5"/>
    </row>
    <row r="60" customFormat="false" ht="15" hidden="false" customHeight="true" outlineLevel="0" collapsed="false">
      <c r="A60" s="6" t="s">
        <v>138</v>
      </c>
      <c r="B60" s="8" t="s">
        <v>225</v>
      </c>
      <c r="C60" s="6" t="s">
        <v>140</v>
      </c>
      <c r="D60" s="6" t="s">
        <v>141</v>
      </c>
      <c r="E60" s="13" t="s">
        <v>142</v>
      </c>
      <c r="F60" s="13"/>
      <c r="G60" s="13"/>
      <c r="H60" s="13"/>
      <c r="I60" s="13"/>
      <c r="J60" s="13"/>
      <c r="K60" s="8"/>
      <c r="L60" s="8"/>
      <c r="M60" s="8"/>
      <c r="N60" s="8"/>
    </row>
    <row r="61" customFormat="false" ht="15" hidden="false" customHeight="true" outlineLevel="0" collapsed="false">
      <c r="A61" s="6" t="s">
        <v>143</v>
      </c>
      <c r="B61" s="8" t="s">
        <v>226</v>
      </c>
      <c r="C61" s="6" t="s">
        <v>140</v>
      </c>
      <c r="D61" s="6" t="s">
        <v>141</v>
      </c>
      <c r="E61" s="13" t="s">
        <v>145</v>
      </c>
      <c r="F61" s="13"/>
      <c r="G61" s="13"/>
      <c r="H61" s="13"/>
      <c r="I61" s="13"/>
      <c r="J61" s="13"/>
      <c r="K61" s="8"/>
      <c r="L61" s="8"/>
      <c r="M61" s="8"/>
      <c r="N61" s="8"/>
    </row>
    <row r="62" customFormat="false" ht="15" hidden="false" customHeight="true" outlineLevel="0" collapsed="false">
      <c r="A62" s="6" t="s">
        <v>146</v>
      </c>
      <c r="B62" s="8" t="s">
        <v>227</v>
      </c>
      <c r="C62" s="6" t="s">
        <v>140</v>
      </c>
      <c r="D62" s="6" t="s">
        <v>141</v>
      </c>
      <c r="E62" s="13" t="s">
        <v>228</v>
      </c>
      <c r="F62" s="13"/>
      <c r="G62" s="13"/>
      <c r="H62" s="13"/>
      <c r="I62" s="13"/>
      <c r="J62" s="13"/>
      <c r="K62" s="8"/>
      <c r="L62" s="8"/>
      <c r="M62" s="8"/>
      <c r="N62" s="8"/>
    </row>
    <row r="63" customFormat="false" ht="15" hidden="false" customHeight="true" outlineLevel="0" collapsed="false">
      <c r="A63" s="6" t="s">
        <v>149</v>
      </c>
      <c r="B63" s="8" t="s">
        <v>229</v>
      </c>
      <c r="C63" s="6" t="s">
        <v>140</v>
      </c>
      <c r="D63" s="6" t="s">
        <v>141</v>
      </c>
      <c r="E63" s="13" t="s">
        <v>230</v>
      </c>
      <c r="F63" s="13"/>
      <c r="G63" s="13"/>
      <c r="H63" s="13"/>
      <c r="I63" s="13"/>
      <c r="J63" s="13"/>
      <c r="K63" s="8"/>
      <c r="L63" s="8"/>
      <c r="M63" s="8"/>
      <c r="N63" s="8"/>
    </row>
    <row r="64" customFormat="false" ht="15" hidden="false" customHeight="true" outlineLevel="0" collapsed="false">
      <c r="A64" s="7" t="s">
        <v>157</v>
      </c>
      <c r="B64" s="7"/>
      <c r="C64" s="7"/>
      <c r="D64" s="11" t="n">
        <f aca="false">COUNTIF(C60:C63,"Basis")</f>
        <v>4</v>
      </c>
      <c r="E64" s="17" t="str">
        <f aca="false">IF(D64=C55,"= V(G)  ✔","≠ V(G)")</f>
        <v>= V(G)  ✔</v>
      </c>
    </row>
    <row r="65" customFormat="false" ht="15" hidden="false" customHeight="true" outlineLevel="0" collapsed="false">
      <c r="A65" s="7" t="s">
        <v>158</v>
      </c>
      <c r="B65" s="7"/>
      <c r="C65" s="7"/>
      <c r="D65" s="11" t="n">
        <f aca="false">COUNTIF(D60:D63,"No")</f>
        <v>0</v>
      </c>
    </row>
    <row r="67" customFormat="false" ht="15" hidden="false" customHeight="true" outlineLevel="0" collapsed="false">
      <c r="A67" s="3" t="s">
        <v>159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customFormat="false" ht="15" hidden="false" customHeight="true" outlineLevel="0" collapsed="false">
      <c r="A68" s="5" t="s">
        <v>160</v>
      </c>
      <c r="B68" s="5" t="s">
        <v>161</v>
      </c>
      <c r="C68" s="5" t="s">
        <v>133</v>
      </c>
      <c r="D68" s="5" t="s">
        <v>162</v>
      </c>
      <c r="E68" s="5" t="s">
        <v>163</v>
      </c>
      <c r="F68" s="5" t="s">
        <v>164</v>
      </c>
      <c r="G68" s="5" t="s">
        <v>165</v>
      </c>
      <c r="H68" s="5" t="s">
        <v>166</v>
      </c>
      <c r="I68" s="5"/>
      <c r="J68" s="5"/>
      <c r="K68" s="5"/>
      <c r="L68" s="5"/>
    </row>
    <row r="69" customFormat="false" ht="27.75" hidden="false" customHeight="true" outlineLevel="0" collapsed="false">
      <c r="A69" s="6" t="s">
        <v>167</v>
      </c>
      <c r="B69" s="8" t="s">
        <v>231</v>
      </c>
      <c r="C69" s="6" t="s">
        <v>138</v>
      </c>
      <c r="D69" s="18" t="s">
        <v>232</v>
      </c>
      <c r="E69" s="19" t="s">
        <v>233</v>
      </c>
      <c r="F69" s="19" t="s">
        <v>233</v>
      </c>
      <c r="G69" s="20" t="str">
        <f aca="false">IF(F69="","Not run",IF(F69=E69,"Pass","Fail"))</f>
        <v>Pass</v>
      </c>
      <c r="H69" s="13" t="str">
        <f aca="false">INDEX($E$60:$E$63,MATCH(C69,$A$60:$A$63,0))</f>
        <v>1-3-5-7-8</v>
      </c>
      <c r="I69" s="13"/>
      <c r="J69" s="13"/>
      <c r="K69" s="13"/>
      <c r="L69" s="13"/>
    </row>
    <row r="70" customFormat="false" ht="27.75" hidden="false" customHeight="true" outlineLevel="0" collapsed="false">
      <c r="A70" s="6" t="s">
        <v>170</v>
      </c>
      <c r="B70" s="8" t="s">
        <v>234</v>
      </c>
      <c r="C70" s="6" t="s">
        <v>143</v>
      </c>
      <c r="D70" s="18" t="s">
        <v>235</v>
      </c>
      <c r="E70" s="19" t="s">
        <v>236</v>
      </c>
      <c r="F70" s="19" t="s">
        <v>236</v>
      </c>
      <c r="G70" s="20" t="str">
        <f aca="false">IF(F70="","Not run",IF(F70=E70,"Pass","Fail"))</f>
        <v>Pass</v>
      </c>
      <c r="H70" s="13" t="str">
        <f aca="false">INDEX($E$60:$E$63,MATCH(C70,$A$60:$A$63,0))</f>
        <v>1-2-8</v>
      </c>
      <c r="I70" s="13"/>
      <c r="J70" s="13"/>
      <c r="K70" s="13"/>
      <c r="L70" s="13"/>
    </row>
    <row r="71" customFormat="false" ht="27.75" hidden="false" customHeight="true" outlineLevel="0" collapsed="false">
      <c r="A71" s="6" t="s">
        <v>174</v>
      </c>
      <c r="B71" s="8" t="s">
        <v>237</v>
      </c>
      <c r="C71" s="6" t="s">
        <v>146</v>
      </c>
      <c r="D71" s="18" t="s">
        <v>238</v>
      </c>
      <c r="E71" s="19" t="s">
        <v>233</v>
      </c>
      <c r="F71" s="19" t="s">
        <v>233</v>
      </c>
      <c r="G71" s="20" t="str">
        <f aca="false">IF(F71="","Not run",IF(F71=E71,"Pass","Fail"))</f>
        <v>Pass</v>
      </c>
      <c r="H71" s="13" t="str">
        <f aca="false">INDEX($E$60:$E$63,MATCH(C71,$A$60:$A$63,0))</f>
        <v>1-3-4-8</v>
      </c>
      <c r="I71" s="13"/>
      <c r="J71" s="13"/>
      <c r="K71" s="13"/>
      <c r="L71" s="13"/>
    </row>
    <row r="72" customFormat="false" ht="27.75" hidden="false" customHeight="true" outlineLevel="0" collapsed="false">
      <c r="A72" s="6" t="s">
        <v>177</v>
      </c>
      <c r="B72" s="8" t="s">
        <v>239</v>
      </c>
      <c r="C72" s="6" t="s">
        <v>149</v>
      </c>
      <c r="D72" s="18" t="s">
        <v>240</v>
      </c>
      <c r="E72" s="19" t="s">
        <v>241</v>
      </c>
      <c r="F72" s="19" t="s">
        <v>241</v>
      </c>
      <c r="G72" s="20" t="str">
        <f aca="false">IF(F72="","Not run",IF(F72=E72,"Pass","Fail"))</f>
        <v>Pass</v>
      </c>
      <c r="H72" s="13" t="str">
        <f aca="false">INDEX($E$60:$E$63,MATCH(C72,$A$60:$A$63,0))</f>
        <v>1-3-5-6-8</v>
      </c>
      <c r="I72" s="13"/>
      <c r="J72" s="13"/>
      <c r="K72" s="13"/>
      <c r="L72" s="13"/>
    </row>
    <row r="73" customFormat="false" ht="27.75" hidden="false" customHeight="true" outlineLevel="0" collapsed="false">
      <c r="A73" s="6" t="s">
        <v>180</v>
      </c>
      <c r="B73" s="8" t="s">
        <v>242</v>
      </c>
      <c r="C73" s="6" t="s">
        <v>146</v>
      </c>
      <c r="D73" s="18" t="s">
        <v>243</v>
      </c>
      <c r="E73" s="19" t="s">
        <v>233</v>
      </c>
      <c r="F73" s="19" t="s">
        <v>233</v>
      </c>
      <c r="G73" s="20" t="str">
        <f aca="false">IF(F73="","Not run",IF(F73=E73,"Pass","Fail"))</f>
        <v>Pass</v>
      </c>
      <c r="H73" s="13" t="str">
        <f aca="false">INDEX($E$60:$E$63,MATCH(C73,$A$60:$A$63,0))</f>
        <v>1-3-4-8</v>
      </c>
      <c r="I73" s="13"/>
      <c r="J73" s="13"/>
      <c r="K73" s="13"/>
      <c r="L73" s="13"/>
    </row>
    <row r="74" customFormat="false" ht="27.75" hidden="false" customHeight="true" outlineLevel="0" collapsed="false">
      <c r="A74" s="6" t="s">
        <v>183</v>
      </c>
      <c r="B74" s="8" t="s">
        <v>244</v>
      </c>
      <c r="C74" s="6" t="s">
        <v>143</v>
      </c>
      <c r="D74" s="18" t="s">
        <v>245</v>
      </c>
      <c r="E74" s="19" t="s">
        <v>236</v>
      </c>
      <c r="F74" s="19" t="s">
        <v>236</v>
      </c>
      <c r="G74" s="20" t="str">
        <f aca="false">IF(F74="","Not run",IF(F74=E74,"Pass","Fail"))</f>
        <v>Pass</v>
      </c>
      <c r="H74" s="13" t="str">
        <f aca="false">INDEX($E$60:$E$63,MATCH(C74,$A$60:$A$63,0))</f>
        <v>1-2-8</v>
      </c>
      <c r="I74" s="13"/>
      <c r="J74" s="13"/>
      <c r="K74" s="13"/>
      <c r="L74" s="13"/>
    </row>
    <row r="75" customFormat="false" ht="27.75" hidden="false" customHeight="true" outlineLevel="0" collapsed="false">
      <c r="A75" s="6" t="s">
        <v>186</v>
      </c>
      <c r="B75" s="8" t="s">
        <v>246</v>
      </c>
      <c r="C75" s="6" t="s">
        <v>138</v>
      </c>
      <c r="D75" s="18" t="s">
        <v>247</v>
      </c>
      <c r="E75" s="19" t="s">
        <v>233</v>
      </c>
      <c r="F75" s="19" t="s">
        <v>233</v>
      </c>
      <c r="G75" s="20" t="str">
        <f aca="false">IF(F75="","Not run",IF(F75=E75,"Pass","Fail"))</f>
        <v>Pass</v>
      </c>
      <c r="H75" s="13" t="str">
        <f aca="false">INDEX($E$60:$E$63,MATCH(C75,$A$60:$A$63,0))</f>
        <v>1-3-5-7-8</v>
      </c>
      <c r="I75" s="13"/>
      <c r="J75" s="13"/>
      <c r="K75" s="13"/>
      <c r="L75" s="13"/>
    </row>
    <row r="76" customFormat="false" ht="27.75" hidden="false" customHeight="true" outlineLevel="0" collapsed="false">
      <c r="A76" s="6" t="s">
        <v>189</v>
      </c>
      <c r="B76" s="8" t="s">
        <v>248</v>
      </c>
      <c r="C76" s="6" t="s">
        <v>149</v>
      </c>
      <c r="D76" s="18" t="s">
        <v>249</v>
      </c>
      <c r="E76" s="19" t="s">
        <v>241</v>
      </c>
      <c r="F76" s="19" t="s">
        <v>241</v>
      </c>
      <c r="G76" s="20" t="str">
        <f aca="false">IF(F76="","Not run",IF(F76=E76,"Pass","Fail"))</f>
        <v>Pass</v>
      </c>
      <c r="H76" s="13" t="str">
        <f aca="false">INDEX($E$60:$E$63,MATCH(C76,$A$60:$A$63,0))</f>
        <v>1-3-5-6-8</v>
      </c>
      <c r="I76" s="13"/>
      <c r="J76" s="13"/>
      <c r="K76" s="13"/>
      <c r="L76" s="13"/>
    </row>
    <row r="77" customFormat="false" ht="30" hidden="false" customHeight="true" outlineLevel="0" collapsed="false">
      <c r="A77" s="6" t="s">
        <v>250</v>
      </c>
      <c r="B77" s="8" t="s">
        <v>251</v>
      </c>
      <c r="C77" s="6" t="s">
        <v>146</v>
      </c>
      <c r="D77" s="18" t="s">
        <v>252</v>
      </c>
      <c r="E77" s="19" t="s">
        <v>233</v>
      </c>
      <c r="F77" s="19" t="s">
        <v>233</v>
      </c>
      <c r="G77" s="20" t="str">
        <f aca="false">IF(F77="","Not run",IF(F77=E77,"Pass","Fail"))</f>
        <v>Pass</v>
      </c>
      <c r="H77" s="13" t="str">
        <f aca="false">INDEX($E$60:$E$63,MATCH(C77,$A$60:$A$63,0))</f>
        <v>1-3-4-8</v>
      </c>
      <c r="I77" s="13"/>
      <c r="J77" s="13"/>
      <c r="K77" s="13"/>
      <c r="L77" s="13"/>
    </row>
    <row r="79" customFormat="false" ht="15" hidden="false" customHeight="true" outlineLevel="0" collapsed="false">
      <c r="A79" s="3" t="s">
        <v>192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customFormat="false" ht="15" hidden="false" customHeight="false" outlineLevel="0" collapsed="false">
      <c r="A80" s="5" t="s">
        <v>76</v>
      </c>
      <c r="B80" s="5" t="s">
        <v>77</v>
      </c>
      <c r="C80" s="5" t="s">
        <v>78</v>
      </c>
      <c r="D80" s="5" t="s">
        <v>79</v>
      </c>
      <c r="E80" s="5" t="s">
        <v>167</v>
      </c>
      <c r="F80" s="5" t="s">
        <v>170</v>
      </c>
      <c r="G80" s="5" t="s">
        <v>174</v>
      </c>
      <c r="H80" s="5" t="s">
        <v>177</v>
      </c>
      <c r="I80" s="5" t="s">
        <v>180</v>
      </c>
      <c r="J80" s="5" t="s">
        <v>183</v>
      </c>
      <c r="K80" s="5" t="s">
        <v>186</v>
      </c>
      <c r="L80" s="5" t="s">
        <v>189</v>
      </c>
      <c r="M80" s="5" t="s">
        <v>250</v>
      </c>
      <c r="N80" s="5" t="s">
        <v>193</v>
      </c>
      <c r="O80" s="5" t="s">
        <v>165</v>
      </c>
    </row>
    <row r="81" customFormat="false" ht="15" hidden="false" customHeight="true" outlineLevel="0" collapsed="false">
      <c r="A81" s="6" t="str">
        <f aca="false">G36</f>
        <v>E1</v>
      </c>
      <c r="B81" s="6" t="n">
        <f aca="false">H36</f>
        <v>1</v>
      </c>
      <c r="C81" s="6" t="n">
        <f aca="false">I36</f>
        <v>2</v>
      </c>
      <c r="D81" s="6" t="str">
        <f aca="false">J36</f>
        <v>T</v>
      </c>
      <c r="E81" s="21" t="n">
        <f aca="false">IF(ISNUMBER(SEARCH("-"&amp;$B81&amp;"-"&amp;$C81&amp;"-","-"&amp;INDEX($H$69:$H$77,MATCH(E$80,$A$69:$A$77,0))&amp;"-")),1,0)</f>
        <v>0</v>
      </c>
      <c r="F81" s="21" t="n">
        <f aca="false">IF(ISNUMBER(SEARCH("-"&amp;$B81&amp;"-"&amp;$C81&amp;"-","-"&amp;INDEX($H$69:$H$77,MATCH(F$80,$A$69:$A$77,0))&amp;"-")),1,0)</f>
        <v>1</v>
      </c>
      <c r="G81" s="21" t="n">
        <f aca="false">IF(ISNUMBER(SEARCH("-"&amp;$B81&amp;"-"&amp;$C81&amp;"-","-"&amp;INDEX($H$69:$H$77,MATCH(G$80,$A$69:$A$77,0))&amp;"-")),1,0)</f>
        <v>0</v>
      </c>
      <c r="H81" s="21" t="n">
        <f aca="false">IF(ISNUMBER(SEARCH("-"&amp;$B81&amp;"-"&amp;$C81&amp;"-","-"&amp;INDEX($H$69:$H$77,MATCH(H$80,$A$69:$A$77,0))&amp;"-")),1,0)</f>
        <v>0</v>
      </c>
      <c r="I81" s="21" t="n">
        <f aca="false">IF(ISNUMBER(SEARCH("-"&amp;$B81&amp;"-"&amp;$C81&amp;"-","-"&amp;INDEX($H$69:$H$77,MATCH(I$80,$A$69:$A$77,0))&amp;"-")),1,0)</f>
        <v>0</v>
      </c>
      <c r="J81" s="21" t="n">
        <f aca="false">IF(ISNUMBER(SEARCH("-"&amp;$B81&amp;"-"&amp;$C81&amp;"-","-"&amp;INDEX($H$69:$H$77,MATCH(J$80,$A$69:$A$77,0))&amp;"-")),1,0)</f>
        <v>1</v>
      </c>
      <c r="K81" s="21" t="n">
        <f aca="false">IF(ISNUMBER(SEARCH("-"&amp;$B81&amp;"-"&amp;$C81&amp;"-","-"&amp;INDEX($H$69:$H$77,MATCH(K$80,$A$69:$A$77,0))&amp;"-")),1,0)</f>
        <v>0</v>
      </c>
      <c r="L81" s="21" t="n">
        <f aca="false">IF(ISNUMBER(SEARCH("-"&amp;$B81&amp;"-"&amp;$C81&amp;"-","-"&amp;INDEX($H$69:$H$77,MATCH(L$80,$A$69:$A$77,0))&amp;"-")),1,0)</f>
        <v>0</v>
      </c>
      <c r="M81" s="21" t="n">
        <f aca="false">IF(ISNUMBER(SEARCH("-"&amp;$B81&amp;"-"&amp;$C81&amp;"-","-"&amp;INDEX($H$69:$H$77,MATCH(M$80,$A$69:$A$77,0))&amp;"-")),1,0)</f>
        <v>0</v>
      </c>
      <c r="N81" s="6" t="n">
        <f aca="false">SUM(E81:M81)</f>
        <v>2</v>
      </c>
      <c r="O81" s="6" t="str">
        <f aca="false">IF(N81&gt;0,"Covered","NOT covered")</f>
        <v>Covered</v>
      </c>
    </row>
    <row r="82" customFormat="false" ht="15" hidden="false" customHeight="true" outlineLevel="0" collapsed="false">
      <c r="A82" s="6" t="str">
        <f aca="false">G37</f>
        <v>E2</v>
      </c>
      <c r="B82" s="6" t="n">
        <f aca="false">H37</f>
        <v>1</v>
      </c>
      <c r="C82" s="6" t="n">
        <f aca="false">I37</f>
        <v>3</v>
      </c>
      <c r="D82" s="6" t="str">
        <f aca="false">J37</f>
        <v>F</v>
      </c>
      <c r="E82" s="21" t="n">
        <f aca="false">IF(ISNUMBER(SEARCH("-"&amp;$B82&amp;"-"&amp;$C82&amp;"-","-"&amp;INDEX($H$69:$H$77,MATCH(E$80,$A$69:$A$77,0))&amp;"-")),1,0)</f>
        <v>1</v>
      </c>
      <c r="F82" s="21" t="n">
        <f aca="false">IF(ISNUMBER(SEARCH("-"&amp;$B82&amp;"-"&amp;$C82&amp;"-","-"&amp;INDEX($H$69:$H$77,MATCH(F$80,$A$69:$A$77,0))&amp;"-")),1,0)</f>
        <v>0</v>
      </c>
      <c r="G82" s="21" t="n">
        <f aca="false">IF(ISNUMBER(SEARCH("-"&amp;$B82&amp;"-"&amp;$C82&amp;"-","-"&amp;INDEX($H$69:$H$77,MATCH(G$80,$A$69:$A$77,0))&amp;"-")),1,0)</f>
        <v>1</v>
      </c>
      <c r="H82" s="21" t="n">
        <f aca="false">IF(ISNUMBER(SEARCH("-"&amp;$B82&amp;"-"&amp;$C82&amp;"-","-"&amp;INDEX($H$69:$H$77,MATCH(H$80,$A$69:$A$77,0))&amp;"-")),1,0)</f>
        <v>1</v>
      </c>
      <c r="I82" s="21" t="n">
        <f aca="false">IF(ISNUMBER(SEARCH("-"&amp;$B82&amp;"-"&amp;$C82&amp;"-","-"&amp;INDEX($H$69:$H$77,MATCH(I$80,$A$69:$A$77,0))&amp;"-")),1,0)</f>
        <v>1</v>
      </c>
      <c r="J82" s="21" t="n">
        <f aca="false">IF(ISNUMBER(SEARCH("-"&amp;$B82&amp;"-"&amp;$C82&amp;"-","-"&amp;INDEX($H$69:$H$77,MATCH(J$80,$A$69:$A$77,0))&amp;"-")),1,0)</f>
        <v>0</v>
      </c>
      <c r="K82" s="21" t="n">
        <f aca="false">IF(ISNUMBER(SEARCH("-"&amp;$B82&amp;"-"&amp;$C82&amp;"-","-"&amp;INDEX($H$69:$H$77,MATCH(K$80,$A$69:$A$77,0))&amp;"-")),1,0)</f>
        <v>1</v>
      </c>
      <c r="L82" s="21" t="n">
        <f aca="false">IF(ISNUMBER(SEARCH("-"&amp;$B82&amp;"-"&amp;$C82&amp;"-","-"&amp;INDEX($H$69:$H$77,MATCH(L$80,$A$69:$A$77,0))&amp;"-")),1,0)</f>
        <v>1</v>
      </c>
      <c r="M82" s="21" t="n">
        <f aca="false">IF(ISNUMBER(SEARCH("-"&amp;$B82&amp;"-"&amp;$C82&amp;"-","-"&amp;INDEX($H$69:$H$77,MATCH(M$80,$A$69:$A$77,0))&amp;"-")),1,0)</f>
        <v>1</v>
      </c>
      <c r="N82" s="6" t="n">
        <f aca="false">SUM(E82:M82)</f>
        <v>7</v>
      </c>
      <c r="O82" s="6" t="str">
        <f aca="false">IF(N82&gt;0,"Covered","NOT covered")</f>
        <v>Covered</v>
      </c>
    </row>
    <row r="83" customFormat="false" ht="15" hidden="false" customHeight="true" outlineLevel="0" collapsed="false">
      <c r="A83" s="6" t="str">
        <f aca="false">G38</f>
        <v>E3</v>
      </c>
      <c r="B83" s="6" t="n">
        <f aca="false">H38</f>
        <v>3</v>
      </c>
      <c r="C83" s="6" t="n">
        <f aca="false">I38</f>
        <v>4</v>
      </c>
      <c r="D83" s="6" t="str">
        <f aca="false">J38</f>
        <v>T</v>
      </c>
      <c r="E83" s="21" t="n">
        <f aca="false">IF(ISNUMBER(SEARCH("-"&amp;$B83&amp;"-"&amp;$C83&amp;"-","-"&amp;INDEX($H$69:$H$77,MATCH(E$80,$A$69:$A$77,0))&amp;"-")),1,0)</f>
        <v>0</v>
      </c>
      <c r="F83" s="21" t="n">
        <f aca="false">IF(ISNUMBER(SEARCH("-"&amp;$B83&amp;"-"&amp;$C83&amp;"-","-"&amp;INDEX($H$69:$H$77,MATCH(F$80,$A$69:$A$77,0))&amp;"-")),1,0)</f>
        <v>0</v>
      </c>
      <c r="G83" s="21" t="n">
        <f aca="false">IF(ISNUMBER(SEARCH("-"&amp;$B83&amp;"-"&amp;$C83&amp;"-","-"&amp;INDEX($H$69:$H$77,MATCH(G$80,$A$69:$A$77,0))&amp;"-")),1,0)</f>
        <v>1</v>
      </c>
      <c r="H83" s="21" t="n">
        <f aca="false">IF(ISNUMBER(SEARCH("-"&amp;$B83&amp;"-"&amp;$C83&amp;"-","-"&amp;INDEX($H$69:$H$77,MATCH(H$80,$A$69:$A$77,0))&amp;"-")),1,0)</f>
        <v>0</v>
      </c>
      <c r="I83" s="21" t="n">
        <f aca="false">IF(ISNUMBER(SEARCH("-"&amp;$B83&amp;"-"&amp;$C83&amp;"-","-"&amp;INDEX($H$69:$H$77,MATCH(I$80,$A$69:$A$77,0))&amp;"-")),1,0)</f>
        <v>1</v>
      </c>
      <c r="J83" s="21" t="n">
        <f aca="false">IF(ISNUMBER(SEARCH("-"&amp;$B83&amp;"-"&amp;$C83&amp;"-","-"&amp;INDEX($H$69:$H$77,MATCH(J$80,$A$69:$A$77,0))&amp;"-")),1,0)</f>
        <v>0</v>
      </c>
      <c r="K83" s="21" t="n">
        <f aca="false">IF(ISNUMBER(SEARCH("-"&amp;$B83&amp;"-"&amp;$C83&amp;"-","-"&amp;INDEX($H$69:$H$77,MATCH(K$80,$A$69:$A$77,0))&amp;"-")),1,0)</f>
        <v>0</v>
      </c>
      <c r="L83" s="21" t="n">
        <f aca="false">IF(ISNUMBER(SEARCH("-"&amp;$B83&amp;"-"&amp;$C83&amp;"-","-"&amp;INDEX($H$69:$H$77,MATCH(L$80,$A$69:$A$77,0))&amp;"-")),1,0)</f>
        <v>0</v>
      </c>
      <c r="M83" s="21" t="n">
        <f aca="false">IF(ISNUMBER(SEARCH("-"&amp;$B83&amp;"-"&amp;$C83&amp;"-","-"&amp;INDEX($H$69:$H$77,MATCH(M$80,$A$69:$A$77,0))&amp;"-")),1,0)</f>
        <v>1</v>
      </c>
      <c r="N83" s="6" t="n">
        <f aca="false">SUM(E83:M83)</f>
        <v>3</v>
      </c>
      <c r="O83" s="6" t="str">
        <f aca="false">IF(N83&gt;0,"Covered","NOT covered")</f>
        <v>Covered</v>
      </c>
    </row>
    <row r="84" customFormat="false" ht="15" hidden="false" customHeight="true" outlineLevel="0" collapsed="false">
      <c r="A84" s="6" t="str">
        <f aca="false">G39</f>
        <v>E4</v>
      </c>
      <c r="B84" s="6" t="n">
        <f aca="false">H39</f>
        <v>3</v>
      </c>
      <c r="C84" s="6" t="n">
        <f aca="false">I39</f>
        <v>5</v>
      </c>
      <c r="D84" s="6" t="str">
        <f aca="false">J39</f>
        <v>F</v>
      </c>
      <c r="E84" s="21" t="n">
        <f aca="false">IF(ISNUMBER(SEARCH("-"&amp;$B84&amp;"-"&amp;$C84&amp;"-","-"&amp;INDEX($H$69:$H$77,MATCH(E$80,$A$69:$A$77,0))&amp;"-")),1,0)</f>
        <v>1</v>
      </c>
      <c r="F84" s="21" t="n">
        <f aca="false">IF(ISNUMBER(SEARCH("-"&amp;$B84&amp;"-"&amp;$C84&amp;"-","-"&amp;INDEX($H$69:$H$77,MATCH(F$80,$A$69:$A$77,0))&amp;"-")),1,0)</f>
        <v>0</v>
      </c>
      <c r="G84" s="21" t="n">
        <f aca="false">IF(ISNUMBER(SEARCH("-"&amp;$B84&amp;"-"&amp;$C84&amp;"-","-"&amp;INDEX($H$69:$H$77,MATCH(G$80,$A$69:$A$77,0))&amp;"-")),1,0)</f>
        <v>0</v>
      </c>
      <c r="H84" s="21" t="n">
        <f aca="false">IF(ISNUMBER(SEARCH("-"&amp;$B84&amp;"-"&amp;$C84&amp;"-","-"&amp;INDEX($H$69:$H$77,MATCH(H$80,$A$69:$A$77,0))&amp;"-")),1,0)</f>
        <v>1</v>
      </c>
      <c r="I84" s="21" t="n">
        <f aca="false">IF(ISNUMBER(SEARCH("-"&amp;$B84&amp;"-"&amp;$C84&amp;"-","-"&amp;INDEX($H$69:$H$77,MATCH(I$80,$A$69:$A$77,0))&amp;"-")),1,0)</f>
        <v>0</v>
      </c>
      <c r="J84" s="21" t="n">
        <f aca="false">IF(ISNUMBER(SEARCH("-"&amp;$B84&amp;"-"&amp;$C84&amp;"-","-"&amp;INDEX($H$69:$H$77,MATCH(J$80,$A$69:$A$77,0))&amp;"-")),1,0)</f>
        <v>0</v>
      </c>
      <c r="K84" s="21" t="n">
        <f aca="false">IF(ISNUMBER(SEARCH("-"&amp;$B84&amp;"-"&amp;$C84&amp;"-","-"&amp;INDEX($H$69:$H$77,MATCH(K$80,$A$69:$A$77,0))&amp;"-")),1,0)</f>
        <v>1</v>
      </c>
      <c r="L84" s="21" t="n">
        <f aca="false">IF(ISNUMBER(SEARCH("-"&amp;$B84&amp;"-"&amp;$C84&amp;"-","-"&amp;INDEX($H$69:$H$77,MATCH(L$80,$A$69:$A$77,0))&amp;"-")),1,0)</f>
        <v>1</v>
      </c>
      <c r="M84" s="21" t="n">
        <f aca="false">IF(ISNUMBER(SEARCH("-"&amp;$B84&amp;"-"&amp;$C84&amp;"-","-"&amp;INDEX($H$69:$H$77,MATCH(M$80,$A$69:$A$77,0))&amp;"-")),1,0)</f>
        <v>0</v>
      </c>
      <c r="N84" s="6" t="n">
        <f aca="false">SUM(E84:M84)</f>
        <v>4</v>
      </c>
      <c r="O84" s="6" t="str">
        <f aca="false">IF(N84&gt;0,"Covered","NOT covered")</f>
        <v>Covered</v>
      </c>
    </row>
    <row r="85" customFormat="false" ht="15" hidden="false" customHeight="true" outlineLevel="0" collapsed="false">
      <c r="A85" s="6" t="str">
        <f aca="false">G40</f>
        <v>E5</v>
      </c>
      <c r="B85" s="6" t="n">
        <f aca="false">H40</f>
        <v>5</v>
      </c>
      <c r="C85" s="6" t="n">
        <f aca="false">I40</f>
        <v>6</v>
      </c>
      <c r="D85" s="6" t="str">
        <f aca="false">J40</f>
        <v>T</v>
      </c>
      <c r="E85" s="21" t="n">
        <f aca="false">IF(ISNUMBER(SEARCH("-"&amp;$B85&amp;"-"&amp;$C85&amp;"-","-"&amp;INDEX($H$69:$H$77,MATCH(E$80,$A$69:$A$77,0))&amp;"-")),1,0)</f>
        <v>0</v>
      </c>
      <c r="F85" s="21" t="n">
        <f aca="false">IF(ISNUMBER(SEARCH("-"&amp;$B85&amp;"-"&amp;$C85&amp;"-","-"&amp;INDEX($H$69:$H$77,MATCH(F$80,$A$69:$A$77,0))&amp;"-")),1,0)</f>
        <v>0</v>
      </c>
      <c r="G85" s="21" t="n">
        <f aca="false">IF(ISNUMBER(SEARCH("-"&amp;$B85&amp;"-"&amp;$C85&amp;"-","-"&amp;INDEX($H$69:$H$77,MATCH(G$80,$A$69:$A$77,0))&amp;"-")),1,0)</f>
        <v>0</v>
      </c>
      <c r="H85" s="21" t="n">
        <f aca="false">IF(ISNUMBER(SEARCH("-"&amp;$B85&amp;"-"&amp;$C85&amp;"-","-"&amp;INDEX($H$69:$H$77,MATCH(H$80,$A$69:$A$77,0))&amp;"-")),1,0)</f>
        <v>1</v>
      </c>
      <c r="I85" s="21" t="n">
        <f aca="false">IF(ISNUMBER(SEARCH("-"&amp;$B85&amp;"-"&amp;$C85&amp;"-","-"&amp;INDEX($H$69:$H$77,MATCH(I$80,$A$69:$A$77,0))&amp;"-")),1,0)</f>
        <v>0</v>
      </c>
      <c r="J85" s="21" t="n">
        <f aca="false">IF(ISNUMBER(SEARCH("-"&amp;$B85&amp;"-"&amp;$C85&amp;"-","-"&amp;INDEX($H$69:$H$77,MATCH(J$80,$A$69:$A$77,0))&amp;"-")),1,0)</f>
        <v>0</v>
      </c>
      <c r="K85" s="21" t="n">
        <f aca="false">IF(ISNUMBER(SEARCH("-"&amp;$B85&amp;"-"&amp;$C85&amp;"-","-"&amp;INDEX($H$69:$H$77,MATCH(K$80,$A$69:$A$77,0))&amp;"-")),1,0)</f>
        <v>0</v>
      </c>
      <c r="L85" s="21" t="n">
        <f aca="false">IF(ISNUMBER(SEARCH("-"&amp;$B85&amp;"-"&amp;$C85&amp;"-","-"&amp;INDEX($H$69:$H$77,MATCH(L$80,$A$69:$A$77,0))&amp;"-")),1,0)</f>
        <v>1</v>
      </c>
      <c r="M85" s="21" t="n">
        <f aca="false">IF(ISNUMBER(SEARCH("-"&amp;$B85&amp;"-"&amp;$C85&amp;"-","-"&amp;INDEX($H$69:$H$77,MATCH(M$80,$A$69:$A$77,0))&amp;"-")),1,0)</f>
        <v>0</v>
      </c>
      <c r="N85" s="6" t="n">
        <f aca="false">SUM(E85:M85)</f>
        <v>2</v>
      </c>
      <c r="O85" s="6" t="str">
        <f aca="false">IF(N85&gt;0,"Covered","NOT covered")</f>
        <v>Covered</v>
      </c>
    </row>
    <row r="86" customFormat="false" ht="15" hidden="false" customHeight="true" outlineLevel="0" collapsed="false">
      <c r="A86" s="6" t="str">
        <f aca="false">G41</f>
        <v>E6</v>
      </c>
      <c r="B86" s="6" t="n">
        <f aca="false">H41</f>
        <v>5</v>
      </c>
      <c r="C86" s="6" t="n">
        <f aca="false">I41</f>
        <v>7</v>
      </c>
      <c r="D86" s="6" t="str">
        <f aca="false">J41</f>
        <v>F</v>
      </c>
      <c r="E86" s="21" t="n">
        <f aca="false">IF(ISNUMBER(SEARCH("-"&amp;$B86&amp;"-"&amp;$C86&amp;"-","-"&amp;INDEX($H$69:$H$77,MATCH(E$80,$A$69:$A$77,0))&amp;"-")),1,0)</f>
        <v>1</v>
      </c>
      <c r="F86" s="21" t="n">
        <f aca="false">IF(ISNUMBER(SEARCH("-"&amp;$B86&amp;"-"&amp;$C86&amp;"-","-"&amp;INDEX($H$69:$H$77,MATCH(F$80,$A$69:$A$77,0))&amp;"-")),1,0)</f>
        <v>0</v>
      </c>
      <c r="G86" s="21" t="n">
        <f aca="false">IF(ISNUMBER(SEARCH("-"&amp;$B86&amp;"-"&amp;$C86&amp;"-","-"&amp;INDEX($H$69:$H$77,MATCH(G$80,$A$69:$A$77,0))&amp;"-")),1,0)</f>
        <v>0</v>
      </c>
      <c r="H86" s="21" t="n">
        <f aca="false">IF(ISNUMBER(SEARCH("-"&amp;$B86&amp;"-"&amp;$C86&amp;"-","-"&amp;INDEX($H$69:$H$77,MATCH(H$80,$A$69:$A$77,0))&amp;"-")),1,0)</f>
        <v>0</v>
      </c>
      <c r="I86" s="21" t="n">
        <f aca="false">IF(ISNUMBER(SEARCH("-"&amp;$B86&amp;"-"&amp;$C86&amp;"-","-"&amp;INDEX($H$69:$H$77,MATCH(I$80,$A$69:$A$77,0))&amp;"-")),1,0)</f>
        <v>0</v>
      </c>
      <c r="J86" s="21" t="n">
        <f aca="false">IF(ISNUMBER(SEARCH("-"&amp;$B86&amp;"-"&amp;$C86&amp;"-","-"&amp;INDEX($H$69:$H$77,MATCH(J$80,$A$69:$A$77,0))&amp;"-")),1,0)</f>
        <v>0</v>
      </c>
      <c r="K86" s="21" t="n">
        <f aca="false">IF(ISNUMBER(SEARCH("-"&amp;$B86&amp;"-"&amp;$C86&amp;"-","-"&amp;INDEX($H$69:$H$77,MATCH(K$80,$A$69:$A$77,0))&amp;"-")),1,0)</f>
        <v>1</v>
      </c>
      <c r="L86" s="21" t="n">
        <f aca="false">IF(ISNUMBER(SEARCH("-"&amp;$B86&amp;"-"&amp;$C86&amp;"-","-"&amp;INDEX($H$69:$H$77,MATCH(L$80,$A$69:$A$77,0))&amp;"-")),1,0)</f>
        <v>0</v>
      </c>
      <c r="M86" s="21" t="n">
        <f aca="false">IF(ISNUMBER(SEARCH("-"&amp;$B86&amp;"-"&amp;$C86&amp;"-","-"&amp;INDEX($H$69:$H$77,MATCH(M$80,$A$69:$A$77,0))&amp;"-")),1,0)</f>
        <v>0</v>
      </c>
      <c r="N86" s="6" t="n">
        <f aca="false">SUM(E86:M86)</f>
        <v>2</v>
      </c>
      <c r="O86" s="6" t="str">
        <f aca="false">IF(N86&gt;0,"Covered","NOT covered")</f>
        <v>Covered</v>
      </c>
    </row>
    <row r="87" customFormat="false" ht="15" hidden="false" customHeight="true" outlineLevel="0" collapsed="false">
      <c r="A87" s="6" t="str">
        <f aca="false">G42</f>
        <v>E7</v>
      </c>
      <c r="B87" s="6" t="n">
        <f aca="false">H42</f>
        <v>2</v>
      </c>
      <c r="C87" s="6" t="n">
        <f aca="false">I42</f>
        <v>8</v>
      </c>
      <c r="D87" s="6" t="str">
        <f aca="false">J42</f>
        <v>-</v>
      </c>
      <c r="E87" s="21" t="n">
        <f aca="false">IF(ISNUMBER(SEARCH("-"&amp;$B87&amp;"-"&amp;$C87&amp;"-","-"&amp;INDEX($H$69:$H$77,MATCH(E$80,$A$69:$A$77,0))&amp;"-")),1,0)</f>
        <v>0</v>
      </c>
      <c r="F87" s="21" t="n">
        <f aca="false">IF(ISNUMBER(SEARCH("-"&amp;$B87&amp;"-"&amp;$C87&amp;"-","-"&amp;INDEX($H$69:$H$77,MATCH(F$80,$A$69:$A$77,0))&amp;"-")),1,0)</f>
        <v>1</v>
      </c>
      <c r="G87" s="21" t="n">
        <f aca="false">IF(ISNUMBER(SEARCH("-"&amp;$B87&amp;"-"&amp;$C87&amp;"-","-"&amp;INDEX($H$69:$H$77,MATCH(G$80,$A$69:$A$77,0))&amp;"-")),1,0)</f>
        <v>0</v>
      </c>
      <c r="H87" s="21" t="n">
        <f aca="false">IF(ISNUMBER(SEARCH("-"&amp;$B87&amp;"-"&amp;$C87&amp;"-","-"&amp;INDEX($H$69:$H$77,MATCH(H$80,$A$69:$A$77,0))&amp;"-")),1,0)</f>
        <v>0</v>
      </c>
      <c r="I87" s="21" t="n">
        <f aca="false">IF(ISNUMBER(SEARCH("-"&amp;$B87&amp;"-"&amp;$C87&amp;"-","-"&amp;INDEX($H$69:$H$77,MATCH(I$80,$A$69:$A$77,0))&amp;"-")),1,0)</f>
        <v>0</v>
      </c>
      <c r="J87" s="21" t="n">
        <f aca="false">IF(ISNUMBER(SEARCH("-"&amp;$B87&amp;"-"&amp;$C87&amp;"-","-"&amp;INDEX($H$69:$H$77,MATCH(J$80,$A$69:$A$77,0))&amp;"-")),1,0)</f>
        <v>1</v>
      </c>
      <c r="K87" s="21" t="n">
        <f aca="false">IF(ISNUMBER(SEARCH("-"&amp;$B87&amp;"-"&amp;$C87&amp;"-","-"&amp;INDEX($H$69:$H$77,MATCH(K$80,$A$69:$A$77,0))&amp;"-")),1,0)</f>
        <v>0</v>
      </c>
      <c r="L87" s="21" t="n">
        <f aca="false">IF(ISNUMBER(SEARCH("-"&amp;$B87&amp;"-"&amp;$C87&amp;"-","-"&amp;INDEX($H$69:$H$77,MATCH(L$80,$A$69:$A$77,0))&amp;"-")),1,0)</f>
        <v>0</v>
      </c>
      <c r="M87" s="21" t="n">
        <f aca="false">IF(ISNUMBER(SEARCH("-"&amp;$B87&amp;"-"&amp;$C87&amp;"-","-"&amp;INDEX($H$69:$H$77,MATCH(M$80,$A$69:$A$77,0))&amp;"-")),1,0)</f>
        <v>0</v>
      </c>
      <c r="N87" s="6" t="n">
        <f aca="false">SUM(E87:M87)</f>
        <v>2</v>
      </c>
      <c r="O87" s="6" t="str">
        <f aca="false">IF(N87&gt;0,"Covered","NOT covered")</f>
        <v>Covered</v>
      </c>
    </row>
    <row r="88" customFormat="false" ht="15" hidden="false" customHeight="true" outlineLevel="0" collapsed="false">
      <c r="A88" s="6" t="str">
        <f aca="false">G43</f>
        <v>E8</v>
      </c>
      <c r="B88" s="6" t="n">
        <f aca="false">H43</f>
        <v>4</v>
      </c>
      <c r="C88" s="6" t="n">
        <f aca="false">I43</f>
        <v>8</v>
      </c>
      <c r="D88" s="6" t="str">
        <f aca="false">J43</f>
        <v>-</v>
      </c>
      <c r="E88" s="21" t="n">
        <f aca="false">IF(ISNUMBER(SEARCH("-"&amp;$B88&amp;"-"&amp;$C88&amp;"-","-"&amp;INDEX($H$69:$H$77,MATCH(E$80,$A$69:$A$77,0))&amp;"-")),1,0)</f>
        <v>0</v>
      </c>
      <c r="F88" s="21" t="n">
        <f aca="false">IF(ISNUMBER(SEARCH("-"&amp;$B88&amp;"-"&amp;$C88&amp;"-","-"&amp;INDEX($H$69:$H$77,MATCH(F$80,$A$69:$A$77,0))&amp;"-")),1,0)</f>
        <v>0</v>
      </c>
      <c r="G88" s="21" t="n">
        <f aca="false">IF(ISNUMBER(SEARCH("-"&amp;$B88&amp;"-"&amp;$C88&amp;"-","-"&amp;INDEX($H$69:$H$77,MATCH(G$80,$A$69:$A$77,0))&amp;"-")),1,0)</f>
        <v>1</v>
      </c>
      <c r="H88" s="21" t="n">
        <f aca="false">IF(ISNUMBER(SEARCH("-"&amp;$B88&amp;"-"&amp;$C88&amp;"-","-"&amp;INDEX($H$69:$H$77,MATCH(H$80,$A$69:$A$77,0))&amp;"-")),1,0)</f>
        <v>0</v>
      </c>
      <c r="I88" s="21" t="n">
        <f aca="false">IF(ISNUMBER(SEARCH("-"&amp;$B88&amp;"-"&amp;$C88&amp;"-","-"&amp;INDEX($H$69:$H$77,MATCH(I$80,$A$69:$A$77,0))&amp;"-")),1,0)</f>
        <v>1</v>
      </c>
      <c r="J88" s="21" t="n">
        <f aca="false">IF(ISNUMBER(SEARCH("-"&amp;$B88&amp;"-"&amp;$C88&amp;"-","-"&amp;INDEX($H$69:$H$77,MATCH(J$80,$A$69:$A$77,0))&amp;"-")),1,0)</f>
        <v>0</v>
      </c>
      <c r="K88" s="21" t="n">
        <f aca="false">IF(ISNUMBER(SEARCH("-"&amp;$B88&amp;"-"&amp;$C88&amp;"-","-"&amp;INDEX($H$69:$H$77,MATCH(K$80,$A$69:$A$77,0))&amp;"-")),1,0)</f>
        <v>0</v>
      </c>
      <c r="L88" s="21" t="n">
        <f aca="false">IF(ISNUMBER(SEARCH("-"&amp;$B88&amp;"-"&amp;$C88&amp;"-","-"&amp;INDEX($H$69:$H$77,MATCH(L$80,$A$69:$A$77,0))&amp;"-")),1,0)</f>
        <v>0</v>
      </c>
      <c r="M88" s="21" t="n">
        <f aca="false">IF(ISNUMBER(SEARCH("-"&amp;$B88&amp;"-"&amp;$C88&amp;"-","-"&amp;INDEX($H$69:$H$77,MATCH(M$80,$A$69:$A$77,0))&amp;"-")),1,0)</f>
        <v>1</v>
      </c>
      <c r="N88" s="6" t="n">
        <f aca="false">SUM(E88:M88)</f>
        <v>3</v>
      </c>
      <c r="O88" s="6" t="str">
        <f aca="false">IF(N88&gt;0,"Covered","NOT covered")</f>
        <v>Covered</v>
      </c>
    </row>
    <row r="89" customFormat="false" ht="15" hidden="false" customHeight="true" outlineLevel="0" collapsed="false">
      <c r="A89" s="6" t="str">
        <f aca="false">G44</f>
        <v>E9</v>
      </c>
      <c r="B89" s="6" t="n">
        <f aca="false">H44</f>
        <v>6</v>
      </c>
      <c r="C89" s="6" t="n">
        <f aca="false">I44</f>
        <v>8</v>
      </c>
      <c r="D89" s="6" t="str">
        <f aca="false">J44</f>
        <v>-</v>
      </c>
      <c r="E89" s="21" t="n">
        <f aca="false">IF(ISNUMBER(SEARCH("-"&amp;$B89&amp;"-"&amp;$C89&amp;"-","-"&amp;INDEX($H$69:$H$77,MATCH(E$80,$A$69:$A$77,0))&amp;"-")),1,0)</f>
        <v>0</v>
      </c>
      <c r="F89" s="21" t="n">
        <f aca="false">IF(ISNUMBER(SEARCH("-"&amp;$B89&amp;"-"&amp;$C89&amp;"-","-"&amp;INDEX($H$69:$H$77,MATCH(F$80,$A$69:$A$77,0))&amp;"-")),1,0)</f>
        <v>0</v>
      </c>
      <c r="G89" s="21" t="n">
        <f aca="false">IF(ISNUMBER(SEARCH("-"&amp;$B89&amp;"-"&amp;$C89&amp;"-","-"&amp;INDEX($H$69:$H$77,MATCH(G$80,$A$69:$A$77,0))&amp;"-")),1,0)</f>
        <v>0</v>
      </c>
      <c r="H89" s="21" t="n">
        <f aca="false">IF(ISNUMBER(SEARCH("-"&amp;$B89&amp;"-"&amp;$C89&amp;"-","-"&amp;INDEX($H$69:$H$77,MATCH(H$80,$A$69:$A$77,0))&amp;"-")),1,0)</f>
        <v>1</v>
      </c>
      <c r="I89" s="21" t="n">
        <f aca="false">IF(ISNUMBER(SEARCH("-"&amp;$B89&amp;"-"&amp;$C89&amp;"-","-"&amp;INDEX($H$69:$H$77,MATCH(I$80,$A$69:$A$77,0))&amp;"-")),1,0)</f>
        <v>0</v>
      </c>
      <c r="J89" s="21" t="n">
        <f aca="false">IF(ISNUMBER(SEARCH("-"&amp;$B89&amp;"-"&amp;$C89&amp;"-","-"&amp;INDEX($H$69:$H$77,MATCH(J$80,$A$69:$A$77,0))&amp;"-")),1,0)</f>
        <v>0</v>
      </c>
      <c r="K89" s="21" t="n">
        <f aca="false">IF(ISNUMBER(SEARCH("-"&amp;$B89&amp;"-"&amp;$C89&amp;"-","-"&amp;INDEX($H$69:$H$77,MATCH(K$80,$A$69:$A$77,0))&amp;"-")),1,0)</f>
        <v>0</v>
      </c>
      <c r="L89" s="21" t="n">
        <f aca="false">IF(ISNUMBER(SEARCH("-"&amp;$B89&amp;"-"&amp;$C89&amp;"-","-"&amp;INDEX($H$69:$H$77,MATCH(L$80,$A$69:$A$77,0))&amp;"-")),1,0)</f>
        <v>1</v>
      </c>
      <c r="M89" s="21" t="n">
        <f aca="false">IF(ISNUMBER(SEARCH("-"&amp;$B89&amp;"-"&amp;$C89&amp;"-","-"&amp;INDEX($H$69:$H$77,MATCH(M$80,$A$69:$A$77,0))&amp;"-")),1,0)</f>
        <v>0</v>
      </c>
      <c r="N89" s="6" t="n">
        <f aca="false">SUM(E89:M89)</f>
        <v>2</v>
      </c>
      <c r="O89" s="6" t="str">
        <f aca="false">IF(N89&gt;0,"Covered","NOT covered")</f>
        <v>Covered</v>
      </c>
    </row>
    <row r="90" customFormat="false" ht="15" hidden="false" customHeight="true" outlineLevel="0" collapsed="false">
      <c r="A90" s="6" t="str">
        <f aca="false">G45</f>
        <v>E10</v>
      </c>
      <c r="B90" s="6" t="n">
        <f aca="false">H45</f>
        <v>7</v>
      </c>
      <c r="C90" s="6" t="n">
        <f aca="false">I45</f>
        <v>8</v>
      </c>
      <c r="D90" s="6" t="str">
        <f aca="false">J45</f>
        <v>-</v>
      </c>
      <c r="E90" s="21" t="n">
        <f aca="false">IF(ISNUMBER(SEARCH("-"&amp;$B90&amp;"-"&amp;$C90&amp;"-","-"&amp;INDEX($H$69:$H$77,MATCH(E$80,$A$69:$A$77,0))&amp;"-")),1,0)</f>
        <v>1</v>
      </c>
      <c r="F90" s="21" t="n">
        <f aca="false">IF(ISNUMBER(SEARCH("-"&amp;$B90&amp;"-"&amp;$C90&amp;"-","-"&amp;INDEX($H$69:$H$77,MATCH(F$80,$A$69:$A$77,0))&amp;"-")),1,0)</f>
        <v>0</v>
      </c>
      <c r="G90" s="21" t="n">
        <f aca="false">IF(ISNUMBER(SEARCH("-"&amp;$B90&amp;"-"&amp;$C90&amp;"-","-"&amp;INDEX($H$69:$H$77,MATCH(G$80,$A$69:$A$77,0))&amp;"-")),1,0)</f>
        <v>0</v>
      </c>
      <c r="H90" s="21" t="n">
        <f aca="false">IF(ISNUMBER(SEARCH("-"&amp;$B90&amp;"-"&amp;$C90&amp;"-","-"&amp;INDEX($H$69:$H$77,MATCH(H$80,$A$69:$A$77,0))&amp;"-")),1,0)</f>
        <v>0</v>
      </c>
      <c r="I90" s="21" t="n">
        <f aca="false">IF(ISNUMBER(SEARCH("-"&amp;$B90&amp;"-"&amp;$C90&amp;"-","-"&amp;INDEX($H$69:$H$77,MATCH(I$80,$A$69:$A$77,0))&amp;"-")),1,0)</f>
        <v>0</v>
      </c>
      <c r="J90" s="21" t="n">
        <f aca="false">IF(ISNUMBER(SEARCH("-"&amp;$B90&amp;"-"&amp;$C90&amp;"-","-"&amp;INDEX($H$69:$H$77,MATCH(J$80,$A$69:$A$77,0))&amp;"-")),1,0)</f>
        <v>0</v>
      </c>
      <c r="K90" s="21" t="n">
        <f aca="false">IF(ISNUMBER(SEARCH("-"&amp;$B90&amp;"-"&amp;$C90&amp;"-","-"&amp;INDEX($H$69:$H$77,MATCH(K$80,$A$69:$A$77,0))&amp;"-")),1,0)</f>
        <v>1</v>
      </c>
      <c r="L90" s="21" t="n">
        <f aca="false">IF(ISNUMBER(SEARCH("-"&amp;$B90&amp;"-"&amp;$C90&amp;"-","-"&amp;INDEX($H$69:$H$77,MATCH(L$80,$A$69:$A$77,0))&amp;"-")),1,0)</f>
        <v>0</v>
      </c>
      <c r="M90" s="21" t="n">
        <f aca="false">IF(ISNUMBER(SEARCH("-"&amp;$B90&amp;"-"&amp;$C90&amp;"-","-"&amp;INDEX($H$69:$H$77,MATCH(M$80,$A$69:$A$77,0))&amp;"-")),1,0)</f>
        <v>0</v>
      </c>
      <c r="N90" s="6" t="n">
        <f aca="false">SUM(E90:M90)</f>
        <v>2</v>
      </c>
      <c r="O90" s="6" t="str">
        <f aca="false">IF(N90&gt;0,"Covered","NOT covered")</f>
        <v>Covered</v>
      </c>
    </row>
    <row r="92" customFormat="false" ht="15" hidden="false" customHeight="false" outlineLevel="0" collapsed="false">
      <c r="A92" s="5" t="s">
        <v>54</v>
      </c>
      <c r="B92" s="5" t="s">
        <v>73</v>
      </c>
      <c r="C92" s="5"/>
      <c r="D92" s="5"/>
      <c r="E92" s="5" t="s">
        <v>167</v>
      </c>
      <c r="F92" s="5" t="s">
        <v>170</v>
      </c>
      <c r="G92" s="5" t="s">
        <v>174</v>
      </c>
      <c r="H92" s="5" t="s">
        <v>177</v>
      </c>
      <c r="I92" s="5" t="s">
        <v>180</v>
      </c>
      <c r="J92" s="5" t="s">
        <v>183</v>
      </c>
      <c r="K92" s="5" t="s">
        <v>186</v>
      </c>
      <c r="L92" s="5" t="s">
        <v>189</v>
      </c>
      <c r="M92" s="5" t="s">
        <v>250</v>
      </c>
      <c r="N92" s="5" t="s">
        <v>193</v>
      </c>
      <c r="O92" s="5" t="s">
        <v>165</v>
      </c>
    </row>
    <row r="93" customFormat="false" ht="15" hidden="false" customHeight="true" outlineLevel="0" collapsed="false">
      <c r="A93" s="6" t="n">
        <f aca="false">A36</f>
        <v>1</v>
      </c>
      <c r="B93" s="6" t="str">
        <f aca="false">C36</f>
        <v>Decision</v>
      </c>
      <c r="C93" s="22"/>
      <c r="D93" s="22"/>
      <c r="E93" s="21" t="n">
        <f aca="false">IF(ISNUMBER(SEARCH("-"&amp;$A93&amp;"-","-"&amp;INDEX($H$69:$H$77,MATCH(E$92,$A$69:$A$77,0))&amp;"-")),1,0)</f>
        <v>1</v>
      </c>
      <c r="F93" s="21" t="n">
        <f aca="false">IF(ISNUMBER(SEARCH("-"&amp;$A93&amp;"-","-"&amp;INDEX($H$69:$H$77,MATCH(F$92,$A$69:$A$77,0))&amp;"-")),1,0)</f>
        <v>1</v>
      </c>
      <c r="G93" s="21" t="n">
        <f aca="false">IF(ISNUMBER(SEARCH("-"&amp;$A93&amp;"-","-"&amp;INDEX($H$69:$H$77,MATCH(G$92,$A$69:$A$77,0))&amp;"-")),1,0)</f>
        <v>1</v>
      </c>
      <c r="H93" s="21" t="n">
        <f aca="false">IF(ISNUMBER(SEARCH("-"&amp;$A93&amp;"-","-"&amp;INDEX($H$69:$H$77,MATCH(H$92,$A$69:$A$77,0))&amp;"-")),1,0)</f>
        <v>1</v>
      </c>
      <c r="I93" s="21" t="n">
        <f aca="false">IF(ISNUMBER(SEARCH("-"&amp;$A93&amp;"-","-"&amp;INDEX($H$69:$H$77,MATCH(I$92,$A$69:$A$77,0))&amp;"-")),1,0)</f>
        <v>1</v>
      </c>
      <c r="J93" s="21" t="n">
        <f aca="false">IF(ISNUMBER(SEARCH("-"&amp;$A93&amp;"-","-"&amp;INDEX($H$69:$H$77,MATCH(J$92,$A$69:$A$77,0))&amp;"-")),1,0)</f>
        <v>1</v>
      </c>
      <c r="K93" s="21" t="n">
        <f aca="false">IF(ISNUMBER(SEARCH("-"&amp;$A93&amp;"-","-"&amp;INDEX($H$69:$H$77,MATCH(K$92,$A$69:$A$77,0))&amp;"-")),1,0)</f>
        <v>1</v>
      </c>
      <c r="L93" s="21" t="n">
        <f aca="false">IF(ISNUMBER(SEARCH("-"&amp;$A93&amp;"-","-"&amp;INDEX($H$69:$H$77,MATCH(L$92,$A$69:$A$77,0))&amp;"-")),1,0)</f>
        <v>1</v>
      </c>
      <c r="M93" s="21" t="n">
        <f aca="false">IF(ISNUMBER(SEARCH("-"&amp;$A93&amp;"-","-"&amp;INDEX($H$69:$H$77,MATCH(M$92,$A$69:$A$77,0))&amp;"-")),1,0)</f>
        <v>1</v>
      </c>
      <c r="N93" s="6" t="n">
        <f aca="false">SUM(E93:M93)</f>
        <v>9</v>
      </c>
      <c r="O93" s="6" t="str">
        <f aca="false">IF(N93&gt;0,"Covered","NOT covered")</f>
        <v>Covered</v>
      </c>
    </row>
    <row r="94" customFormat="false" ht="15" hidden="false" customHeight="true" outlineLevel="0" collapsed="false">
      <c r="A94" s="6" t="n">
        <f aca="false">A37</f>
        <v>2</v>
      </c>
      <c r="B94" s="6" t="str">
        <f aca="false">C37</f>
        <v>Process</v>
      </c>
      <c r="C94" s="22"/>
      <c r="D94" s="22"/>
      <c r="E94" s="21" t="n">
        <f aca="false">IF(ISNUMBER(SEARCH("-"&amp;$A94&amp;"-","-"&amp;INDEX($H$69:$H$77,MATCH(E$92,$A$69:$A$77,0))&amp;"-")),1,0)</f>
        <v>0</v>
      </c>
      <c r="F94" s="21" t="n">
        <f aca="false">IF(ISNUMBER(SEARCH("-"&amp;$A94&amp;"-","-"&amp;INDEX($H$69:$H$77,MATCH(F$92,$A$69:$A$77,0))&amp;"-")),1,0)</f>
        <v>1</v>
      </c>
      <c r="G94" s="21" t="n">
        <f aca="false">IF(ISNUMBER(SEARCH("-"&amp;$A94&amp;"-","-"&amp;INDEX($H$69:$H$77,MATCH(G$92,$A$69:$A$77,0))&amp;"-")),1,0)</f>
        <v>0</v>
      </c>
      <c r="H94" s="21" t="n">
        <f aca="false">IF(ISNUMBER(SEARCH("-"&amp;$A94&amp;"-","-"&amp;INDEX($H$69:$H$77,MATCH(H$92,$A$69:$A$77,0))&amp;"-")),1,0)</f>
        <v>0</v>
      </c>
      <c r="I94" s="21" t="n">
        <f aca="false">IF(ISNUMBER(SEARCH("-"&amp;$A94&amp;"-","-"&amp;INDEX($H$69:$H$77,MATCH(I$92,$A$69:$A$77,0))&amp;"-")),1,0)</f>
        <v>0</v>
      </c>
      <c r="J94" s="21" t="n">
        <f aca="false">IF(ISNUMBER(SEARCH("-"&amp;$A94&amp;"-","-"&amp;INDEX($H$69:$H$77,MATCH(J$92,$A$69:$A$77,0))&amp;"-")),1,0)</f>
        <v>1</v>
      </c>
      <c r="K94" s="21" t="n">
        <f aca="false">IF(ISNUMBER(SEARCH("-"&amp;$A94&amp;"-","-"&amp;INDEX($H$69:$H$77,MATCH(K$92,$A$69:$A$77,0))&amp;"-")),1,0)</f>
        <v>0</v>
      </c>
      <c r="L94" s="21" t="n">
        <f aca="false">IF(ISNUMBER(SEARCH("-"&amp;$A94&amp;"-","-"&amp;INDEX($H$69:$H$77,MATCH(L$92,$A$69:$A$77,0))&amp;"-")),1,0)</f>
        <v>0</v>
      </c>
      <c r="M94" s="21" t="n">
        <f aca="false">IF(ISNUMBER(SEARCH("-"&amp;$A94&amp;"-","-"&amp;INDEX($H$69:$H$77,MATCH(M$92,$A$69:$A$77,0))&amp;"-")),1,0)</f>
        <v>0</v>
      </c>
      <c r="N94" s="6" t="n">
        <f aca="false">SUM(E94:M94)</f>
        <v>2</v>
      </c>
      <c r="O94" s="6" t="str">
        <f aca="false">IF(N94&gt;0,"Covered","NOT covered")</f>
        <v>Covered</v>
      </c>
    </row>
    <row r="95" customFormat="false" ht="15" hidden="false" customHeight="true" outlineLevel="0" collapsed="false">
      <c r="A95" s="6" t="n">
        <f aca="false">A38</f>
        <v>3</v>
      </c>
      <c r="B95" s="6" t="str">
        <f aca="false">C38</f>
        <v>Decision</v>
      </c>
      <c r="C95" s="22"/>
      <c r="D95" s="22"/>
      <c r="E95" s="21" t="n">
        <f aca="false">IF(ISNUMBER(SEARCH("-"&amp;$A95&amp;"-","-"&amp;INDEX($H$69:$H$77,MATCH(E$92,$A$69:$A$77,0))&amp;"-")),1,0)</f>
        <v>1</v>
      </c>
      <c r="F95" s="21" t="n">
        <f aca="false">IF(ISNUMBER(SEARCH("-"&amp;$A95&amp;"-","-"&amp;INDEX($H$69:$H$77,MATCH(F$92,$A$69:$A$77,0))&amp;"-")),1,0)</f>
        <v>0</v>
      </c>
      <c r="G95" s="21" t="n">
        <f aca="false">IF(ISNUMBER(SEARCH("-"&amp;$A95&amp;"-","-"&amp;INDEX($H$69:$H$77,MATCH(G$92,$A$69:$A$77,0))&amp;"-")),1,0)</f>
        <v>1</v>
      </c>
      <c r="H95" s="21" t="n">
        <f aca="false">IF(ISNUMBER(SEARCH("-"&amp;$A95&amp;"-","-"&amp;INDEX($H$69:$H$77,MATCH(H$92,$A$69:$A$77,0))&amp;"-")),1,0)</f>
        <v>1</v>
      </c>
      <c r="I95" s="21" t="n">
        <f aca="false">IF(ISNUMBER(SEARCH("-"&amp;$A95&amp;"-","-"&amp;INDEX($H$69:$H$77,MATCH(I$92,$A$69:$A$77,0))&amp;"-")),1,0)</f>
        <v>1</v>
      </c>
      <c r="J95" s="21" t="n">
        <f aca="false">IF(ISNUMBER(SEARCH("-"&amp;$A95&amp;"-","-"&amp;INDEX($H$69:$H$77,MATCH(J$92,$A$69:$A$77,0))&amp;"-")),1,0)</f>
        <v>0</v>
      </c>
      <c r="K95" s="21" t="n">
        <f aca="false">IF(ISNUMBER(SEARCH("-"&amp;$A95&amp;"-","-"&amp;INDEX($H$69:$H$77,MATCH(K$92,$A$69:$A$77,0))&amp;"-")),1,0)</f>
        <v>1</v>
      </c>
      <c r="L95" s="21" t="n">
        <f aca="false">IF(ISNUMBER(SEARCH("-"&amp;$A95&amp;"-","-"&amp;INDEX($H$69:$H$77,MATCH(L$92,$A$69:$A$77,0))&amp;"-")),1,0)</f>
        <v>1</v>
      </c>
      <c r="M95" s="21" t="n">
        <f aca="false">IF(ISNUMBER(SEARCH("-"&amp;$A95&amp;"-","-"&amp;INDEX($H$69:$H$77,MATCH(M$92,$A$69:$A$77,0))&amp;"-")),1,0)</f>
        <v>1</v>
      </c>
      <c r="N95" s="6" t="n">
        <f aca="false">SUM(E95:M95)</f>
        <v>7</v>
      </c>
      <c r="O95" s="6" t="str">
        <f aca="false">IF(N95&gt;0,"Covered","NOT covered")</f>
        <v>Covered</v>
      </c>
    </row>
    <row r="96" customFormat="false" ht="15" hidden="false" customHeight="true" outlineLevel="0" collapsed="false">
      <c r="A96" s="6" t="n">
        <f aca="false">A39</f>
        <v>4</v>
      </c>
      <c r="B96" s="6" t="str">
        <f aca="false">C39</f>
        <v>Process</v>
      </c>
      <c r="C96" s="22"/>
      <c r="D96" s="22"/>
      <c r="E96" s="21" t="n">
        <f aca="false">IF(ISNUMBER(SEARCH("-"&amp;$A96&amp;"-","-"&amp;INDEX($H$69:$H$77,MATCH(E$92,$A$69:$A$77,0))&amp;"-")),1,0)</f>
        <v>0</v>
      </c>
      <c r="F96" s="21" t="n">
        <f aca="false">IF(ISNUMBER(SEARCH("-"&amp;$A96&amp;"-","-"&amp;INDEX($H$69:$H$77,MATCH(F$92,$A$69:$A$77,0))&amp;"-")),1,0)</f>
        <v>0</v>
      </c>
      <c r="G96" s="21" t="n">
        <f aca="false">IF(ISNUMBER(SEARCH("-"&amp;$A96&amp;"-","-"&amp;INDEX($H$69:$H$77,MATCH(G$92,$A$69:$A$77,0))&amp;"-")),1,0)</f>
        <v>1</v>
      </c>
      <c r="H96" s="21" t="n">
        <f aca="false">IF(ISNUMBER(SEARCH("-"&amp;$A96&amp;"-","-"&amp;INDEX($H$69:$H$77,MATCH(H$92,$A$69:$A$77,0))&amp;"-")),1,0)</f>
        <v>0</v>
      </c>
      <c r="I96" s="21" t="n">
        <f aca="false">IF(ISNUMBER(SEARCH("-"&amp;$A96&amp;"-","-"&amp;INDEX($H$69:$H$77,MATCH(I$92,$A$69:$A$77,0))&amp;"-")),1,0)</f>
        <v>1</v>
      </c>
      <c r="J96" s="21" t="n">
        <f aca="false">IF(ISNUMBER(SEARCH("-"&amp;$A96&amp;"-","-"&amp;INDEX($H$69:$H$77,MATCH(J$92,$A$69:$A$77,0))&amp;"-")),1,0)</f>
        <v>0</v>
      </c>
      <c r="K96" s="21" t="n">
        <f aca="false">IF(ISNUMBER(SEARCH("-"&amp;$A96&amp;"-","-"&amp;INDEX($H$69:$H$77,MATCH(K$92,$A$69:$A$77,0))&amp;"-")),1,0)</f>
        <v>0</v>
      </c>
      <c r="L96" s="21" t="n">
        <f aca="false">IF(ISNUMBER(SEARCH("-"&amp;$A96&amp;"-","-"&amp;INDEX($H$69:$H$77,MATCH(L$92,$A$69:$A$77,0))&amp;"-")),1,0)</f>
        <v>0</v>
      </c>
      <c r="M96" s="21" t="n">
        <f aca="false">IF(ISNUMBER(SEARCH("-"&amp;$A96&amp;"-","-"&amp;INDEX($H$69:$H$77,MATCH(M$92,$A$69:$A$77,0))&amp;"-")),1,0)</f>
        <v>1</v>
      </c>
      <c r="N96" s="6" t="n">
        <f aca="false">SUM(E96:M96)</f>
        <v>3</v>
      </c>
      <c r="O96" s="6" t="str">
        <f aca="false">IF(N96&gt;0,"Covered","NOT covered")</f>
        <v>Covered</v>
      </c>
    </row>
    <row r="97" customFormat="false" ht="15" hidden="false" customHeight="true" outlineLevel="0" collapsed="false">
      <c r="A97" s="6" t="n">
        <f aca="false">A40</f>
        <v>5</v>
      </c>
      <c r="B97" s="6" t="str">
        <f aca="false">C40</f>
        <v>Decision</v>
      </c>
      <c r="C97" s="22"/>
      <c r="D97" s="22"/>
      <c r="E97" s="21" t="n">
        <f aca="false">IF(ISNUMBER(SEARCH("-"&amp;$A97&amp;"-","-"&amp;INDEX($H$69:$H$77,MATCH(E$92,$A$69:$A$77,0))&amp;"-")),1,0)</f>
        <v>1</v>
      </c>
      <c r="F97" s="21" t="n">
        <f aca="false">IF(ISNUMBER(SEARCH("-"&amp;$A97&amp;"-","-"&amp;INDEX($H$69:$H$77,MATCH(F$92,$A$69:$A$77,0))&amp;"-")),1,0)</f>
        <v>0</v>
      </c>
      <c r="G97" s="21" t="n">
        <f aca="false">IF(ISNUMBER(SEARCH("-"&amp;$A97&amp;"-","-"&amp;INDEX($H$69:$H$77,MATCH(G$92,$A$69:$A$77,0))&amp;"-")),1,0)</f>
        <v>0</v>
      </c>
      <c r="H97" s="21" t="n">
        <f aca="false">IF(ISNUMBER(SEARCH("-"&amp;$A97&amp;"-","-"&amp;INDEX($H$69:$H$77,MATCH(H$92,$A$69:$A$77,0))&amp;"-")),1,0)</f>
        <v>1</v>
      </c>
      <c r="I97" s="21" t="n">
        <f aca="false">IF(ISNUMBER(SEARCH("-"&amp;$A97&amp;"-","-"&amp;INDEX($H$69:$H$77,MATCH(I$92,$A$69:$A$77,0))&amp;"-")),1,0)</f>
        <v>0</v>
      </c>
      <c r="J97" s="21" t="n">
        <f aca="false">IF(ISNUMBER(SEARCH("-"&amp;$A97&amp;"-","-"&amp;INDEX($H$69:$H$77,MATCH(J$92,$A$69:$A$77,0))&amp;"-")),1,0)</f>
        <v>0</v>
      </c>
      <c r="K97" s="21" t="n">
        <f aca="false">IF(ISNUMBER(SEARCH("-"&amp;$A97&amp;"-","-"&amp;INDEX($H$69:$H$77,MATCH(K$92,$A$69:$A$77,0))&amp;"-")),1,0)</f>
        <v>1</v>
      </c>
      <c r="L97" s="21" t="n">
        <f aca="false">IF(ISNUMBER(SEARCH("-"&amp;$A97&amp;"-","-"&amp;INDEX($H$69:$H$77,MATCH(L$92,$A$69:$A$77,0))&amp;"-")),1,0)</f>
        <v>1</v>
      </c>
      <c r="M97" s="21" t="n">
        <f aca="false">IF(ISNUMBER(SEARCH("-"&amp;$A97&amp;"-","-"&amp;INDEX($H$69:$H$77,MATCH(M$92,$A$69:$A$77,0))&amp;"-")),1,0)</f>
        <v>0</v>
      </c>
      <c r="N97" s="6" t="n">
        <f aca="false">SUM(E97:M97)</f>
        <v>4</v>
      </c>
      <c r="O97" s="6" t="str">
        <f aca="false">IF(N97&gt;0,"Covered","NOT covered")</f>
        <v>Covered</v>
      </c>
    </row>
    <row r="98" customFormat="false" ht="15" hidden="false" customHeight="true" outlineLevel="0" collapsed="false">
      <c r="A98" s="6" t="n">
        <f aca="false">A41</f>
        <v>6</v>
      </c>
      <c r="B98" s="6" t="str">
        <f aca="false">C41</f>
        <v>Process</v>
      </c>
      <c r="C98" s="22"/>
      <c r="D98" s="22"/>
      <c r="E98" s="21" t="n">
        <f aca="false">IF(ISNUMBER(SEARCH("-"&amp;$A98&amp;"-","-"&amp;INDEX($H$69:$H$77,MATCH(E$92,$A$69:$A$77,0))&amp;"-")),1,0)</f>
        <v>0</v>
      </c>
      <c r="F98" s="21" t="n">
        <f aca="false">IF(ISNUMBER(SEARCH("-"&amp;$A98&amp;"-","-"&amp;INDEX($H$69:$H$77,MATCH(F$92,$A$69:$A$77,0))&amp;"-")),1,0)</f>
        <v>0</v>
      </c>
      <c r="G98" s="21" t="n">
        <f aca="false">IF(ISNUMBER(SEARCH("-"&amp;$A98&amp;"-","-"&amp;INDEX($H$69:$H$77,MATCH(G$92,$A$69:$A$77,0))&amp;"-")),1,0)</f>
        <v>0</v>
      </c>
      <c r="H98" s="21" t="n">
        <f aca="false">IF(ISNUMBER(SEARCH("-"&amp;$A98&amp;"-","-"&amp;INDEX($H$69:$H$77,MATCH(H$92,$A$69:$A$77,0))&amp;"-")),1,0)</f>
        <v>1</v>
      </c>
      <c r="I98" s="21" t="n">
        <f aca="false">IF(ISNUMBER(SEARCH("-"&amp;$A98&amp;"-","-"&amp;INDEX($H$69:$H$77,MATCH(I$92,$A$69:$A$77,0))&amp;"-")),1,0)</f>
        <v>0</v>
      </c>
      <c r="J98" s="21" t="n">
        <f aca="false">IF(ISNUMBER(SEARCH("-"&amp;$A98&amp;"-","-"&amp;INDEX($H$69:$H$77,MATCH(J$92,$A$69:$A$77,0))&amp;"-")),1,0)</f>
        <v>0</v>
      </c>
      <c r="K98" s="21" t="n">
        <f aca="false">IF(ISNUMBER(SEARCH("-"&amp;$A98&amp;"-","-"&amp;INDEX($H$69:$H$77,MATCH(K$92,$A$69:$A$77,0))&amp;"-")),1,0)</f>
        <v>0</v>
      </c>
      <c r="L98" s="21" t="n">
        <f aca="false">IF(ISNUMBER(SEARCH("-"&amp;$A98&amp;"-","-"&amp;INDEX($H$69:$H$77,MATCH(L$92,$A$69:$A$77,0))&amp;"-")),1,0)</f>
        <v>1</v>
      </c>
      <c r="M98" s="21" t="n">
        <f aca="false">IF(ISNUMBER(SEARCH("-"&amp;$A98&amp;"-","-"&amp;INDEX($H$69:$H$77,MATCH(M$92,$A$69:$A$77,0))&amp;"-")),1,0)</f>
        <v>0</v>
      </c>
      <c r="N98" s="6" t="n">
        <f aca="false">SUM(E98:M98)</f>
        <v>2</v>
      </c>
      <c r="O98" s="6" t="str">
        <f aca="false">IF(N98&gt;0,"Covered","NOT covered")</f>
        <v>Covered</v>
      </c>
    </row>
    <row r="99" customFormat="false" ht="15" hidden="false" customHeight="true" outlineLevel="0" collapsed="false">
      <c r="A99" s="6" t="n">
        <f aca="false">A42</f>
        <v>7</v>
      </c>
      <c r="B99" s="6" t="str">
        <f aca="false">C42</f>
        <v>Process</v>
      </c>
      <c r="C99" s="22"/>
      <c r="D99" s="22"/>
      <c r="E99" s="21" t="n">
        <f aca="false">IF(ISNUMBER(SEARCH("-"&amp;$A99&amp;"-","-"&amp;INDEX($H$69:$H$77,MATCH(E$92,$A$69:$A$77,0))&amp;"-")),1,0)</f>
        <v>1</v>
      </c>
      <c r="F99" s="21" t="n">
        <f aca="false">IF(ISNUMBER(SEARCH("-"&amp;$A99&amp;"-","-"&amp;INDEX($H$69:$H$77,MATCH(F$92,$A$69:$A$77,0))&amp;"-")),1,0)</f>
        <v>0</v>
      </c>
      <c r="G99" s="21" t="n">
        <f aca="false">IF(ISNUMBER(SEARCH("-"&amp;$A99&amp;"-","-"&amp;INDEX($H$69:$H$77,MATCH(G$92,$A$69:$A$77,0))&amp;"-")),1,0)</f>
        <v>0</v>
      </c>
      <c r="H99" s="21" t="n">
        <f aca="false">IF(ISNUMBER(SEARCH("-"&amp;$A99&amp;"-","-"&amp;INDEX($H$69:$H$77,MATCH(H$92,$A$69:$A$77,0))&amp;"-")),1,0)</f>
        <v>0</v>
      </c>
      <c r="I99" s="21" t="n">
        <f aca="false">IF(ISNUMBER(SEARCH("-"&amp;$A99&amp;"-","-"&amp;INDEX($H$69:$H$77,MATCH(I$92,$A$69:$A$77,0))&amp;"-")),1,0)</f>
        <v>0</v>
      </c>
      <c r="J99" s="21" t="n">
        <f aca="false">IF(ISNUMBER(SEARCH("-"&amp;$A99&amp;"-","-"&amp;INDEX($H$69:$H$77,MATCH(J$92,$A$69:$A$77,0))&amp;"-")),1,0)</f>
        <v>0</v>
      </c>
      <c r="K99" s="21" t="n">
        <f aca="false">IF(ISNUMBER(SEARCH("-"&amp;$A99&amp;"-","-"&amp;INDEX($H$69:$H$77,MATCH(K$92,$A$69:$A$77,0))&amp;"-")),1,0)</f>
        <v>1</v>
      </c>
      <c r="L99" s="21" t="n">
        <f aca="false">IF(ISNUMBER(SEARCH("-"&amp;$A99&amp;"-","-"&amp;INDEX($H$69:$H$77,MATCH(L$92,$A$69:$A$77,0))&amp;"-")),1,0)</f>
        <v>0</v>
      </c>
      <c r="M99" s="21" t="n">
        <f aca="false">IF(ISNUMBER(SEARCH("-"&amp;$A99&amp;"-","-"&amp;INDEX($H$69:$H$77,MATCH(M$92,$A$69:$A$77,0))&amp;"-")),1,0)</f>
        <v>0</v>
      </c>
      <c r="N99" s="6" t="n">
        <f aca="false">SUM(E99:M99)</f>
        <v>2</v>
      </c>
      <c r="O99" s="6" t="str">
        <f aca="false">IF(N99&gt;0,"Covered","NOT covered")</f>
        <v>Covered</v>
      </c>
    </row>
    <row r="100" customFormat="false" ht="15" hidden="false" customHeight="true" outlineLevel="0" collapsed="false">
      <c r="A100" s="6" t="n">
        <f aca="false">A43</f>
        <v>8</v>
      </c>
      <c r="B100" s="6" t="str">
        <f aca="false">C43</f>
        <v>Exit</v>
      </c>
      <c r="C100" s="22"/>
      <c r="D100" s="22"/>
      <c r="E100" s="21" t="n">
        <f aca="false">IF(ISNUMBER(SEARCH("-"&amp;$A100&amp;"-","-"&amp;INDEX($H$69:$H$77,MATCH(E$92,$A$69:$A$77,0))&amp;"-")),1,0)</f>
        <v>1</v>
      </c>
      <c r="F100" s="21" t="n">
        <f aca="false">IF(ISNUMBER(SEARCH("-"&amp;$A100&amp;"-","-"&amp;INDEX($H$69:$H$77,MATCH(F$92,$A$69:$A$77,0))&amp;"-")),1,0)</f>
        <v>1</v>
      </c>
      <c r="G100" s="21" t="n">
        <f aca="false">IF(ISNUMBER(SEARCH("-"&amp;$A100&amp;"-","-"&amp;INDEX($H$69:$H$77,MATCH(G$92,$A$69:$A$77,0))&amp;"-")),1,0)</f>
        <v>1</v>
      </c>
      <c r="H100" s="21" t="n">
        <f aca="false">IF(ISNUMBER(SEARCH("-"&amp;$A100&amp;"-","-"&amp;INDEX($H$69:$H$77,MATCH(H$92,$A$69:$A$77,0))&amp;"-")),1,0)</f>
        <v>1</v>
      </c>
      <c r="I100" s="21" t="n">
        <f aca="false">IF(ISNUMBER(SEARCH("-"&amp;$A100&amp;"-","-"&amp;INDEX($H$69:$H$77,MATCH(I$92,$A$69:$A$77,0))&amp;"-")),1,0)</f>
        <v>1</v>
      </c>
      <c r="J100" s="21" t="n">
        <f aca="false">IF(ISNUMBER(SEARCH("-"&amp;$A100&amp;"-","-"&amp;INDEX($H$69:$H$77,MATCH(J$92,$A$69:$A$77,0))&amp;"-")),1,0)</f>
        <v>1</v>
      </c>
      <c r="K100" s="21" t="n">
        <f aca="false">IF(ISNUMBER(SEARCH("-"&amp;$A100&amp;"-","-"&amp;INDEX($H$69:$H$77,MATCH(K$92,$A$69:$A$77,0))&amp;"-")),1,0)</f>
        <v>1</v>
      </c>
      <c r="L100" s="21" t="n">
        <f aca="false">IF(ISNUMBER(SEARCH("-"&amp;$A100&amp;"-","-"&amp;INDEX($H$69:$H$77,MATCH(L$92,$A$69:$A$77,0))&amp;"-")),1,0)</f>
        <v>1</v>
      </c>
      <c r="M100" s="21" t="n">
        <f aca="false">IF(ISNUMBER(SEARCH("-"&amp;$A100&amp;"-","-"&amp;INDEX($H$69:$H$77,MATCH(M$92,$A$69:$A$77,0))&amp;"-")),1,0)</f>
        <v>1</v>
      </c>
      <c r="N100" s="6" t="n">
        <f aca="false">SUM(E100:M100)</f>
        <v>9</v>
      </c>
      <c r="O100" s="6" t="str">
        <f aca="false">IF(N100&gt;0,"Covered","NOT covered")</f>
        <v>Covered</v>
      </c>
    </row>
    <row r="102" customFormat="false" ht="15" hidden="false" customHeight="true" outlineLevel="0" collapsed="false">
      <c r="A102" s="3" t="s">
        <v>194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customFormat="false" ht="15" hidden="false" customHeight="true" outlineLevel="0" collapsed="false">
      <c r="A103" s="7" t="s">
        <v>195</v>
      </c>
      <c r="B103" s="7"/>
      <c r="C103" s="7"/>
      <c r="D103" s="23" t="n">
        <f aca="false">COUNTIF(O93:O100,"Covered")/COUNTA(A93:A100)</f>
        <v>1</v>
      </c>
    </row>
    <row r="104" customFormat="false" ht="15" hidden="false" customHeight="true" outlineLevel="0" collapsed="false">
      <c r="A104" s="7" t="s">
        <v>196</v>
      </c>
      <c r="B104" s="7"/>
      <c r="C104" s="7"/>
      <c r="D104" s="23" t="n">
        <f aca="false">(COUNTIFS(D81:D90,"T",O81:O90,"Covered")+COUNTIFS(D81:D90,"F",O81:O90,"Covered"))/(COUNTIF(D81:D90,"T")+COUNTIF(D81:D90,"F"))</f>
        <v>1</v>
      </c>
    </row>
    <row r="105" customFormat="false" ht="15" hidden="false" customHeight="true" outlineLevel="0" collapsed="false">
      <c r="A105" s="7" t="s">
        <v>197</v>
      </c>
      <c r="B105" s="7"/>
      <c r="C105" s="7"/>
      <c r="D105" s="23" t="n">
        <f aca="false">COUNTIF(O81:O90,"Covered")/COUNTA(A81:A90)</f>
        <v>1</v>
      </c>
    </row>
    <row r="106" customFormat="false" ht="15" hidden="false" customHeight="true" outlineLevel="0" collapsed="false">
      <c r="A106" s="7" t="s">
        <v>198</v>
      </c>
      <c r="B106" s="7"/>
      <c r="C106" s="7"/>
      <c r="D106" s="11" t="str">
        <f aca="false">COUNTIF(G69:G77,"Pass")&amp;" / "&amp;COUNTA(A69:A77)</f>
        <v>9 / 9</v>
      </c>
    </row>
  </sheetData>
  <mergeCells count="40">
    <mergeCell ref="A4:E4"/>
    <mergeCell ref="A5:E5"/>
    <mergeCell ref="A6:E6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E59:J59"/>
    <mergeCell ref="K59:N59"/>
    <mergeCell ref="E60:J60"/>
    <mergeCell ref="K60:N60"/>
    <mergeCell ref="E61:J61"/>
    <mergeCell ref="K61:N61"/>
    <mergeCell ref="E62:J62"/>
    <mergeCell ref="K62:N62"/>
    <mergeCell ref="E63:J63"/>
    <mergeCell ref="K63:N63"/>
    <mergeCell ref="A64:C64"/>
    <mergeCell ref="A65:C65"/>
    <mergeCell ref="H68:L68"/>
    <mergeCell ref="H69:L69"/>
    <mergeCell ref="H70:L70"/>
    <mergeCell ref="H71:L71"/>
    <mergeCell ref="H72:L72"/>
    <mergeCell ref="H73:L73"/>
    <mergeCell ref="H74:L74"/>
    <mergeCell ref="H75:L75"/>
    <mergeCell ref="H76:L76"/>
    <mergeCell ref="H77:L77"/>
    <mergeCell ref="A103:C103"/>
    <mergeCell ref="A104:C104"/>
    <mergeCell ref="A105:C105"/>
    <mergeCell ref="A106:C106"/>
  </mergeCells>
  <conditionalFormatting sqref="G69:G7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E81:M90">
    <cfRule type="cellIs" priority="4" operator="equal" aboveAverage="0" equalAverage="0" bottom="0" percent="0" rank="0" text="" dxfId="0">
      <formula>1</formula>
    </cfRule>
  </conditionalFormatting>
  <conditionalFormatting sqref="E93:M100">
    <cfRule type="cellIs" priority="5" operator="equal" aboveAverage="0" equalAverage="0" bottom="0" percent="0" rank="0" text="" dxfId="0">
      <formula>1</formula>
    </cfRule>
  </conditionalFormatting>
  <conditionalFormatting sqref="O81:O90">
    <cfRule type="cellIs" priority="6" operator="equal" aboveAverage="0" equalAverage="0" bottom="0" percent="0" rank="0" text="" dxfId="1">
      <formula>"NOT covered"</formula>
    </cfRule>
  </conditionalFormatting>
  <conditionalFormatting sqref="O93:O100">
    <cfRule type="cellIs" priority="7" operator="equal" aboveAverage="0" equalAverage="0" bottom="0" percent="0" rank="0" text="" dxfId="1">
      <formula>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14" min="14" style="0" width="13"/>
  </cols>
  <sheetData>
    <row r="1" customFormat="false" ht="18" hidden="false" customHeight="tru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4" customFormat="false" ht="30" hidden="false" customHeight="true" outlineLevel="0" collapsed="false">
      <c r="A4" s="12" t="s">
        <v>255</v>
      </c>
      <c r="B4" s="12"/>
      <c r="C4" s="12"/>
      <c r="D4" s="12"/>
      <c r="E4" s="12"/>
    </row>
    <row r="5" customFormat="false" ht="30" hidden="false" customHeight="true" outlineLevel="0" collapsed="false">
      <c r="A5" s="12" t="s">
        <v>256</v>
      </c>
      <c r="B5" s="12"/>
      <c r="C5" s="12"/>
      <c r="D5" s="12"/>
      <c r="E5" s="12"/>
    </row>
    <row r="6" customFormat="false" ht="30" hidden="false" customHeight="true" outlineLevel="0" collapsed="false">
      <c r="A6" s="12" t="s">
        <v>257</v>
      </c>
      <c r="B6" s="12"/>
      <c r="C6" s="12"/>
      <c r="D6" s="12"/>
      <c r="E6" s="12"/>
    </row>
    <row r="8" customFormat="false" ht="15" hidden="false" customHeight="true" outlineLevel="0" collapsed="false">
      <c r="A8" s="3" t="s">
        <v>51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5" t="s">
        <v>52</v>
      </c>
      <c r="B9" s="5" t="s">
        <v>53</v>
      </c>
      <c r="C9" s="5" t="s">
        <v>54</v>
      </c>
    </row>
    <row r="10" customFormat="false" ht="15" hidden="false" customHeight="true" outlineLevel="0" collapsed="false">
      <c r="A10" s="6" t="n">
        <v>1</v>
      </c>
      <c r="B10" s="13" t="s">
        <v>258</v>
      </c>
      <c r="C10" s="6" t="s">
        <v>56</v>
      </c>
    </row>
    <row r="11" customFormat="false" ht="15" hidden="false" customHeight="true" outlineLevel="0" collapsed="false">
      <c r="A11" s="6" t="n">
        <v>2</v>
      </c>
      <c r="B11" s="13" t="s">
        <v>259</v>
      </c>
      <c r="C11" s="6" t="s">
        <v>58</v>
      </c>
    </row>
    <row r="12" customFormat="false" ht="15" hidden="false" customHeight="true" outlineLevel="0" collapsed="false">
      <c r="A12" s="6" t="n">
        <v>3</v>
      </c>
      <c r="B12" s="13" t="s">
        <v>260</v>
      </c>
      <c r="C12" s="6" t="s">
        <v>58</v>
      </c>
    </row>
    <row r="13" customFormat="false" ht="15" hidden="false" customHeight="true" outlineLevel="0" collapsed="false">
      <c r="A13" s="6" t="n">
        <v>4</v>
      </c>
      <c r="B13" s="13" t="s">
        <v>261</v>
      </c>
      <c r="C13" s="6" t="s">
        <v>60</v>
      </c>
    </row>
    <row r="14" customFormat="false" ht="15" hidden="false" customHeight="true" outlineLevel="0" collapsed="false">
      <c r="A14" s="6" t="n">
        <v>5</v>
      </c>
      <c r="B14" s="13" t="s">
        <v>262</v>
      </c>
      <c r="C14" s="6" t="s">
        <v>62</v>
      </c>
    </row>
    <row r="15" customFormat="false" ht="15" hidden="false" customHeight="true" outlineLevel="0" collapsed="false">
      <c r="A15" s="6" t="n">
        <v>6</v>
      </c>
      <c r="B15" s="13" t="s">
        <v>263</v>
      </c>
      <c r="C15" s="6" t="s">
        <v>62</v>
      </c>
    </row>
    <row r="16" customFormat="false" ht="15" hidden="false" customHeight="true" outlineLevel="0" collapsed="false">
      <c r="A16" s="6" t="n">
        <v>7</v>
      </c>
      <c r="B16" s="13" t="s">
        <v>264</v>
      </c>
      <c r="C16" s="6" t="s">
        <v>64</v>
      </c>
    </row>
    <row r="17" customFormat="false" ht="15" hidden="false" customHeight="true" outlineLevel="0" collapsed="false">
      <c r="A17" s="6" t="n">
        <v>8</v>
      </c>
      <c r="B17" s="13" t="s">
        <v>265</v>
      </c>
      <c r="C17" s="6" t="s">
        <v>66</v>
      </c>
    </row>
    <row r="18" customFormat="false" ht="15" hidden="false" customHeight="true" outlineLevel="0" collapsed="false">
      <c r="A18" s="6" t="n">
        <v>9</v>
      </c>
      <c r="B18" s="13" t="s">
        <v>266</v>
      </c>
      <c r="C18" s="6" t="s">
        <v>68</v>
      </c>
    </row>
    <row r="19" customFormat="false" ht="15" hidden="false" customHeight="true" outlineLevel="0" collapsed="false">
      <c r="A19" s="6" t="n">
        <v>10</v>
      </c>
      <c r="B19" s="13" t="s">
        <v>267</v>
      </c>
      <c r="C19" s="6" t="s">
        <v>70</v>
      </c>
    </row>
    <row r="20" customFormat="false" ht="15" hidden="false" customHeight="true" outlineLevel="0" collapsed="false">
      <c r="A20" s="6" t="n">
        <v>11</v>
      </c>
      <c r="B20" s="13" t="s">
        <v>268</v>
      </c>
      <c r="C20" s="6" t="s">
        <v>269</v>
      </c>
    </row>
    <row r="34" customFormat="false" ht="15" hidden="false" customHeight="true" outlineLevel="0" collapsed="false">
      <c r="A34" s="3" t="s">
        <v>71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true" outlineLevel="0" collapsed="false">
      <c r="A35" s="5" t="s">
        <v>54</v>
      </c>
      <c r="B35" s="5" t="s">
        <v>72</v>
      </c>
      <c r="C35" s="5" t="s">
        <v>73</v>
      </c>
      <c r="D35" s="5" t="s">
        <v>74</v>
      </c>
      <c r="E35" s="5" t="s">
        <v>75</v>
      </c>
      <c r="G35" s="5" t="s">
        <v>76</v>
      </c>
      <c r="H35" s="5" t="s">
        <v>77</v>
      </c>
      <c r="I35" s="5" t="s">
        <v>78</v>
      </c>
      <c r="J35" s="5" t="s">
        <v>79</v>
      </c>
      <c r="K35" s="5" t="s">
        <v>80</v>
      </c>
      <c r="L35" s="5"/>
      <c r="M35" s="5"/>
      <c r="N35" s="5"/>
    </row>
    <row r="36" customFormat="false" ht="15" hidden="false" customHeight="true" outlineLevel="0" collapsed="false">
      <c r="A36" s="6" t="n">
        <v>1</v>
      </c>
      <c r="B36" s="8" t="s">
        <v>270</v>
      </c>
      <c r="C36" s="6" t="s">
        <v>271</v>
      </c>
      <c r="D36" s="6" t="n">
        <f aca="false">COUNTIF($H$36:$H$46,A36)</f>
        <v>1</v>
      </c>
      <c r="E36" s="6" t="n">
        <f aca="false">COUNTIF($I$36:$I$46,A36)</f>
        <v>0</v>
      </c>
      <c r="G36" s="6" t="s">
        <v>83</v>
      </c>
      <c r="H36" s="6" t="n">
        <v>1</v>
      </c>
      <c r="I36" s="6" t="n">
        <v>2</v>
      </c>
      <c r="J36" s="6" t="s">
        <v>56</v>
      </c>
      <c r="K36" s="8" t="s">
        <v>272</v>
      </c>
      <c r="L36" s="8"/>
      <c r="M36" s="8"/>
      <c r="N36" s="8"/>
    </row>
    <row r="37" customFormat="false" ht="15" hidden="false" customHeight="true" outlineLevel="0" collapsed="false">
      <c r="A37" s="14" t="n">
        <v>2</v>
      </c>
      <c r="B37" s="15" t="s">
        <v>273</v>
      </c>
      <c r="C37" s="14" t="s">
        <v>82</v>
      </c>
      <c r="D37" s="14" t="n">
        <f aca="false">COUNTIF($H$36:$H$46,A37)</f>
        <v>2</v>
      </c>
      <c r="E37" s="14" t="n">
        <f aca="false">COUNTIF($I$36:$I$46,A37)</f>
        <v>2</v>
      </c>
      <c r="G37" s="6" t="s">
        <v>88</v>
      </c>
      <c r="H37" s="6" t="n">
        <v>2</v>
      </c>
      <c r="I37" s="6" t="n">
        <v>3</v>
      </c>
      <c r="J37" s="6" t="s">
        <v>84</v>
      </c>
      <c r="K37" s="8" t="s">
        <v>274</v>
      </c>
      <c r="L37" s="8"/>
      <c r="M37" s="8"/>
      <c r="N37" s="8"/>
    </row>
    <row r="38" customFormat="false" ht="15" hidden="false" customHeight="true" outlineLevel="0" collapsed="false">
      <c r="A38" s="14" t="n">
        <v>3</v>
      </c>
      <c r="B38" s="15" t="s">
        <v>275</v>
      </c>
      <c r="C38" s="14" t="s">
        <v>82</v>
      </c>
      <c r="D38" s="14" t="n">
        <f aca="false">COUNTIF($H$36:$H$46,A38)</f>
        <v>2</v>
      </c>
      <c r="E38" s="14" t="n">
        <f aca="false">COUNTIF($I$36:$I$46,A38)</f>
        <v>1</v>
      </c>
      <c r="G38" s="6" t="s">
        <v>92</v>
      </c>
      <c r="H38" s="6" t="n">
        <v>2</v>
      </c>
      <c r="I38" s="6" t="n">
        <v>8</v>
      </c>
      <c r="J38" s="6" t="s">
        <v>89</v>
      </c>
      <c r="K38" s="8" t="s">
        <v>276</v>
      </c>
      <c r="L38" s="8"/>
      <c r="M38" s="8"/>
      <c r="N38" s="8"/>
    </row>
    <row r="39" customFormat="false" ht="15" hidden="false" customHeight="true" outlineLevel="0" collapsed="false">
      <c r="A39" s="6" t="n">
        <v>4</v>
      </c>
      <c r="B39" s="8" t="s">
        <v>277</v>
      </c>
      <c r="C39" s="6" t="s">
        <v>87</v>
      </c>
      <c r="D39" s="6" t="n">
        <f aca="false">COUNTIF($H$36:$H$46,A39)</f>
        <v>1</v>
      </c>
      <c r="E39" s="6" t="n">
        <f aca="false">COUNTIF($I$36:$I$46,A39)</f>
        <v>1</v>
      </c>
      <c r="G39" s="6" t="s">
        <v>95</v>
      </c>
      <c r="H39" s="6" t="n">
        <v>3</v>
      </c>
      <c r="I39" s="6" t="n">
        <v>4</v>
      </c>
      <c r="J39" s="6" t="s">
        <v>84</v>
      </c>
      <c r="K39" s="8" t="s">
        <v>278</v>
      </c>
      <c r="L39" s="8"/>
      <c r="M39" s="8"/>
      <c r="N39" s="8"/>
    </row>
    <row r="40" customFormat="false" ht="15" hidden="false" customHeight="true" outlineLevel="0" collapsed="false">
      <c r="A40" s="14" t="n">
        <v>5</v>
      </c>
      <c r="B40" s="15" t="s">
        <v>279</v>
      </c>
      <c r="C40" s="14" t="s">
        <v>82</v>
      </c>
      <c r="D40" s="14" t="n">
        <f aca="false">COUNTIF($H$36:$H$46,A40)</f>
        <v>2</v>
      </c>
      <c r="E40" s="14" t="n">
        <f aca="false">COUNTIF($I$36:$I$46,A40)</f>
        <v>1</v>
      </c>
      <c r="G40" s="6" t="s">
        <v>98</v>
      </c>
      <c r="H40" s="6" t="n">
        <v>3</v>
      </c>
      <c r="I40" s="6" t="n">
        <v>5</v>
      </c>
      <c r="J40" s="6" t="s">
        <v>89</v>
      </c>
      <c r="K40" s="8" t="s">
        <v>280</v>
      </c>
      <c r="L40" s="8"/>
      <c r="M40" s="8"/>
      <c r="N40" s="8"/>
    </row>
    <row r="41" customFormat="false" ht="15" hidden="false" customHeight="true" outlineLevel="0" collapsed="false">
      <c r="A41" s="6" t="n">
        <v>6</v>
      </c>
      <c r="B41" s="8" t="s">
        <v>281</v>
      </c>
      <c r="C41" s="6" t="s">
        <v>87</v>
      </c>
      <c r="D41" s="6" t="n">
        <f aca="false">COUNTIF($H$36:$H$46,A41)</f>
        <v>1</v>
      </c>
      <c r="E41" s="6" t="n">
        <f aca="false">COUNTIF($I$36:$I$46,A41)</f>
        <v>1</v>
      </c>
      <c r="G41" s="6" t="s">
        <v>101</v>
      </c>
      <c r="H41" s="6" t="n">
        <v>4</v>
      </c>
      <c r="I41" s="6" t="n">
        <v>7</v>
      </c>
      <c r="J41" s="6" t="s">
        <v>56</v>
      </c>
      <c r="K41" s="8" t="s">
        <v>282</v>
      </c>
      <c r="L41" s="8"/>
      <c r="M41" s="8"/>
      <c r="N41" s="8"/>
    </row>
    <row r="42" customFormat="false" ht="15" hidden="false" customHeight="true" outlineLevel="0" collapsed="false">
      <c r="A42" s="6" t="n">
        <v>7</v>
      </c>
      <c r="B42" s="8" t="s">
        <v>283</v>
      </c>
      <c r="C42" s="6" t="s">
        <v>87</v>
      </c>
      <c r="D42" s="6" t="n">
        <f aca="false">COUNTIF($H$36:$H$46,A42)</f>
        <v>1</v>
      </c>
      <c r="E42" s="6" t="n">
        <f aca="false">COUNTIF($I$36:$I$46,A42)</f>
        <v>3</v>
      </c>
      <c r="G42" s="6" t="s">
        <v>104</v>
      </c>
      <c r="H42" s="6" t="n">
        <v>5</v>
      </c>
      <c r="I42" s="6" t="n">
        <v>6</v>
      </c>
      <c r="J42" s="6" t="s">
        <v>84</v>
      </c>
      <c r="K42" s="8" t="s">
        <v>284</v>
      </c>
      <c r="L42" s="8"/>
      <c r="M42" s="8"/>
      <c r="N42" s="8"/>
    </row>
    <row r="43" customFormat="false" ht="15" hidden="false" customHeight="true" outlineLevel="0" collapsed="false">
      <c r="A43" s="6" t="n">
        <v>8</v>
      </c>
      <c r="B43" s="8" t="s">
        <v>285</v>
      </c>
      <c r="C43" s="6" t="s">
        <v>87</v>
      </c>
      <c r="D43" s="6" t="n">
        <f aca="false">COUNTIF($H$36:$H$46,A43)</f>
        <v>1</v>
      </c>
      <c r="E43" s="6" t="n">
        <f aca="false">COUNTIF($I$36:$I$46,A43)</f>
        <v>1</v>
      </c>
      <c r="G43" s="6" t="s">
        <v>108</v>
      </c>
      <c r="H43" s="6" t="n">
        <v>5</v>
      </c>
      <c r="I43" s="6" t="n">
        <v>7</v>
      </c>
      <c r="J43" s="6" t="s">
        <v>89</v>
      </c>
      <c r="K43" s="8" t="s">
        <v>286</v>
      </c>
      <c r="L43" s="8"/>
      <c r="M43" s="8"/>
      <c r="N43" s="8"/>
    </row>
    <row r="44" customFormat="false" ht="15" hidden="false" customHeight="true" outlineLevel="0" collapsed="false">
      <c r="A44" s="6" t="n">
        <v>9</v>
      </c>
      <c r="B44" s="8" t="s">
        <v>106</v>
      </c>
      <c r="C44" s="6" t="s">
        <v>107</v>
      </c>
      <c r="D44" s="6" t="n">
        <f aca="false">COUNTIF($H$36:$H$46,A44)</f>
        <v>0</v>
      </c>
      <c r="E44" s="6" t="n">
        <f aca="false">COUNTIF($I$36:$I$46,A44)</f>
        <v>1</v>
      </c>
      <c r="G44" s="6" t="s">
        <v>110</v>
      </c>
      <c r="H44" s="6" t="n">
        <v>6</v>
      </c>
      <c r="I44" s="6" t="n">
        <v>7</v>
      </c>
      <c r="J44" s="6" t="s">
        <v>56</v>
      </c>
      <c r="K44" s="8" t="s">
        <v>282</v>
      </c>
      <c r="L44" s="8"/>
      <c r="M44" s="8"/>
      <c r="N44" s="8"/>
    </row>
    <row r="45" customFormat="false" ht="15" hidden="false" customHeight="true" outlineLevel="0" collapsed="false">
      <c r="G45" s="6" t="s">
        <v>111</v>
      </c>
      <c r="H45" s="6" t="n">
        <v>7</v>
      </c>
      <c r="I45" s="6" t="n">
        <v>2</v>
      </c>
      <c r="J45" s="6" t="s">
        <v>56</v>
      </c>
      <c r="K45" s="8" t="s">
        <v>287</v>
      </c>
      <c r="L45" s="8"/>
      <c r="M45" s="8"/>
      <c r="N45" s="8"/>
    </row>
    <row r="46" customFormat="false" ht="15" hidden="false" customHeight="true" outlineLevel="0" collapsed="false">
      <c r="G46" s="6" t="s">
        <v>288</v>
      </c>
      <c r="H46" s="6" t="n">
        <v>8</v>
      </c>
      <c r="I46" s="6" t="n">
        <v>9</v>
      </c>
      <c r="J46" s="6" t="s">
        <v>56</v>
      </c>
      <c r="K46" s="8" t="s">
        <v>106</v>
      </c>
      <c r="L46" s="8"/>
      <c r="M46" s="8"/>
      <c r="N46" s="8"/>
    </row>
    <row r="48" customFormat="false" ht="15" hidden="false" customHeight="true" outlineLevel="0" collapsed="false">
      <c r="A48" s="3" t="s">
        <v>112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ustomFormat="false" ht="23.85" hidden="false" customHeight="false" outlineLevel="0" collapsed="false">
      <c r="A49" s="5" t="s">
        <v>113</v>
      </c>
      <c r="B49" s="5" t="s">
        <v>114</v>
      </c>
      <c r="C49" s="5" t="s">
        <v>115</v>
      </c>
    </row>
    <row r="50" customFormat="false" ht="23.25" hidden="false" customHeight="true" outlineLevel="0" collapsed="false">
      <c r="A50" s="8" t="s">
        <v>116</v>
      </c>
      <c r="B50" s="8" t="s">
        <v>117</v>
      </c>
      <c r="C50" s="11" t="n">
        <f aca="false">COUNTA(A36:A44)</f>
        <v>9</v>
      </c>
    </row>
    <row r="51" customFormat="false" ht="23.25" hidden="false" customHeight="true" outlineLevel="0" collapsed="false">
      <c r="A51" s="8" t="s">
        <v>118</v>
      </c>
      <c r="B51" s="8" t="s">
        <v>119</v>
      </c>
      <c r="C51" s="11" t="n">
        <f aca="false">COUNTA(G36:G46)</f>
        <v>11</v>
      </c>
    </row>
    <row r="52" customFormat="false" ht="23.25" hidden="false" customHeight="true" outlineLevel="0" collapsed="false">
      <c r="A52" s="8" t="s">
        <v>120</v>
      </c>
      <c r="B52" s="8" t="s">
        <v>121</v>
      </c>
      <c r="C52" s="11" t="n">
        <f aca="false">COUNTIF(C36:C44,"Decision")</f>
        <v>3</v>
      </c>
    </row>
    <row r="53" customFormat="false" ht="23.25" hidden="false" customHeight="true" outlineLevel="0" collapsed="false">
      <c r="A53" s="8" t="s">
        <v>122</v>
      </c>
      <c r="B53" s="8" t="s">
        <v>123</v>
      </c>
      <c r="C53" s="11" t="n">
        <f aca="false">C51-C50+2</f>
        <v>4</v>
      </c>
    </row>
    <row r="54" customFormat="false" ht="23.25" hidden="false" customHeight="true" outlineLevel="0" collapsed="false">
      <c r="A54" s="8" t="s">
        <v>124</v>
      </c>
      <c r="B54" s="8" t="s">
        <v>125</v>
      </c>
      <c r="C54" s="11" t="n">
        <f aca="false">C52+1</f>
        <v>4</v>
      </c>
    </row>
    <row r="55" customFormat="false" ht="23.25" hidden="false" customHeight="true" outlineLevel="0" collapsed="false">
      <c r="A55" s="8" t="s">
        <v>126</v>
      </c>
      <c r="B55" s="8" t="s">
        <v>127</v>
      </c>
      <c r="C55" s="11" t="str">
        <f aca="false">IF(C53=C54,"Yes","MISMATCH")</f>
        <v>Yes</v>
      </c>
    </row>
    <row r="56" customFormat="false" ht="30" hidden="false" customHeight="true" outlineLevel="0" collapsed="false">
      <c r="A56" s="7" t="s">
        <v>128</v>
      </c>
      <c r="B56" s="8" t="s">
        <v>129</v>
      </c>
      <c r="C56" s="16" t="n">
        <f aca="false">C53</f>
        <v>4</v>
      </c>
    </row>
    <row r="57" customFormat="false" ht="23.25" hidden="false" customHeight="true" outlineLevel="0" collapsed="false">
      <c r="A57" s="8" t="s">
        <v>130</v>
      </c>
      <c r="B57" s="8" t="s">
        <v>131</v>
      </c>
      <c r="C57" s="11" t="str">
        <f aca="false">IF(C56&lt;=10,"Simple",IF(C56&lt;=20,"Moderate",IF(C56&lt;=50,"Complex","Unstable")))</f>
        <v>Simple</v>
      </c>
    </row>
    <row r="59" customFormat="false" ht="15" hidden="false" customHeight="true" outlineLevel="0" collapsed="false">
      <c r="A59" s="3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customFormat="false" ht="15" hidden="false" customHeight="true" outlineLevel="0" collapsed="false">
      <c r="A60" s="5" t="s">
        <v>133</v>
      </c>
      <c r="B60" s="5" t="s">
        <v>134</v>
      </c>
      <c r="C60" s="5" t="s">
        <v>73</v>
      </c>
      <c r="D60" s="5" t="s">
        <v>135</v>
      </c>
      <c r="E60" s="5" t="s">
        <v>136</v>
      </c>
      <c r="F60" s="5"/>
      <c r="G60" s="5"/>
      <c r="H60" s="5"/>
      <c r="I60" s="5"/>
      <c r="J60" s="5"/>
      <c r="K60" s="5" t="s">
        <v>137</v>
      </c>
      <c r="L60" s="5"/>
      <c r="M60" s="5"/>
      <c r="N60" s="5"/>
    </row>
    <row r="61" customFormat="false" ht="15" hidden="false" customHeight="true" outlineLevel="0" collapsed="false">
      <c r="A61" s="6" t="s">
        <v>138</v>
      </c>
      <c r="B61" s="8" t="s">
        <v>289</v>
      </c>
      <c r="C61" s="6" t="s">
        <v>140</v>
      </c>
      <c r="D61" s="6" t="s">
        <v>141</v>
      </c>
      <c r="E61" s="13" t="s">
        <v>290</v>
      </c>
      <c r="F61" s="13"/>
      <c r="G61" s="13"/>
      <c r="H61" s="13"/>
      <c r="I61" s="13"/>
      <c r="J61" s="13"/>
      <c r="K61" s="8" t="s">
        <v>291</v>
      </c>
      <c r="L61" s="8"/>
      <c r="M61" s="8"/>
      <c r="N61" s="8"/>
    </row>
    <row r="62" customFormat="false" ht="15" hidden="false" customHeight="true" outlineLevel="0" collapsed="false">
      <c r="A62" s="6" t="s">
        <v>143</v>
      </c>
      <c r="B62" s="8" t="s">
        <v>292</v>
      </c>
      <c r="C62" s="6" t="s">
        <v>140</v>
      </c>
      <c r="D62" s="6" t="s">
        <v>141</v>
      </c>
      <c r="E62" s="13" t="s">
        <v>293</v>
      </c>
      <c r="F62" s="13"/>
      <c r="G62" s="13"/>
      <c r="H62" s="13"/>
      <c r="I62" s="13"/>
      <c r="J62" s="13"/>
      <c r="K62" s="8" t="s">
        <v>294</v>
      </c>
      <c r="L62" s="8"/>
      <c r="M62" s="8"/>
      <c r="N62" s="8"/>
    </row>
    <row r="63" customFormat="false" ht="15" hidden="false" customHeight="true" outlineLevel="0" collapsed="false">
      <c r="A63" s="6" t="s">
        <v>146</v>
      </c>
      <c r="B63" s="8" t="s">
        <v>295</v>
      </c>
      <c r="C63" s="6" t="s">
        <v>140</v>
      </c>
      <c r="D63" s="6" t="s">
        <v>141</v>
      </c>
      <c r="E63" s="13" t="s">
        <v>296</v>
      </c>
      <c r="F63" s="13"/>
      <c r="G63" s="13"/>
      <c r="H63" s="13"/>
      <c r="I63" s="13"/>
      <c r="J63" s="13"/>
      <c r="K63" s="8" t="s">
        <v>291</v>
      </c>
      <c r="L63" s="8"/>
      <c r="M63" s="8"/>
      <c r="N63" s="8"/>
    </row>
    <row r="64" customFormat="false" ht="15" hidden="false" customHeight="true" outlineLevel="0" collapsed="false">
      <c r="A64" s="6" t="s">
        <v>149</v>
      </c>
      <c r="B64" s="8" t="s">
        <v>297</v>
      </c>
      <c r="C64" s="6" t="s">
        <v>140</v>
      </c>
      <c r="D64" s="6" t="s">
        <v>141</v>
      </c>
      <c r="E64" s="13" t="s">
        <v>298</v>
      </c>
      <c r="F64" s="13"/>
      <c r="G64" s="13"/>
      <c r="H64" s="13"/>
      <c r="I64" s="13"/>
      <c r="J64" s="13"/>
      <c r="K64" s="8" t="s">
        <v>291</v>
      </c>
      <c r="L64" s="8"/>
      <c r="M64" s="8"/>
      <c r="N64" s="8"/>
    </row>
    <row r="65" customFormat="false" ht="15" hidden="false" customHeight="true" outlineLevel="0" collapsed="false">
      <c r="A65" s="6" t="s">
        <v>152</v>
      </c>
      <c r="B65" s="8" t="s">
        <v>299</v>
      </c>
      <c r="C65" s="6" t="s">
        <v>154</v>
      </c>
      <c r="D65" s="6" t="s">
        <v>141</v>
      </c>
      <c r="E65" s="13" t="s">
        <v>300</v>
      </c>
      <c r="F65" s="13"/>
      <c r="G65" s="13"/>
      <c r="H65" s="13"/>
      <c r="I65" s="13"/>
      <c r="J65" s="13"/>
      <c r="K65" s="8" t="s">
        <v>301</v>
      </c>
      <c r="L65" s="8"/>
      <c r="M65" s="8"/>
      <c r="N65" s="8"/>
    </row>
    <row r="66" customFormat="false" ht="15" hidden="false" customHeight="true" outlineLevel="0" collapsed="false">
      <c r="A66" s="6" t="s">
        <v>302</v>
      </c>
      <c r="B66" s="8" t="s">
        <v>303</v>
      </c>
      <c r="C66" s="6" t="s">
        <v>154</v>
      </c>
      <c r="D66" s="6" t="s">
        <v>141</v>
      </c>
      <c r="E66" s="13" t="s">
        <v>304</v>
      </c>
      <c r="F66" s="13"/>
      <c r="G66" s="13"/>
      <c r="H66" s="13"/>
      <c r="I66" s="13"/>
      <c r="J66" s="13"/>
      <c r="K66" s="8" t="s">
        <v>305</v>
      </c>
      <c r="L66" s="8"/>
      <c r="M66" s="8"/>
      <c r="N66" s="8"/>
    </row>
    <row r="67" customFormat="false" ht="15" hidden="false" customHeight="true" outlineLevel="0" collapsed="false">
      <c r="A67" s="6" t="s">
        <v>306</v>
      </c>
      <c r="B67" s="8" t="s">
        <v>307</v>
      </c>
      <c r="C67" s="6" t="s">
        <v>154</v>
      </c>
      <c r="D67" s="6" t="s">
        <v>141</v>
      </c>
      <c r="E67" s="13" t="s">
        <v>308</v>
      </c>
      <c r="F67" s="13"/>
      <c r="G67" s="13"/>
      <c r="H67" s="13"/>
      <c r="I67" s="13"/>
      <c r="J67" s="13"/>
      <c r="K67" s="8" t="s">
        <v>305</v>
      </c>
      <c r="L67" s="8"/>
      <c r="M67" s="8"/>
      <c r="N67" s="8"/>
    </row>
    <row r="68" customFormat="false" ht="15" hidden="false" customHeight="true" outlineLevel="0" collapsed="false">
      <c r="A68" s="6" t="s">
        <v>309</v>
      </c>
      <c r="B68" s="8" t="s">
        <v>310</v>
      </c>
      <c r="C68" s="6" t="s">
        <v>154</v>
      </c>
      <c r="D68" s="6" t="s">
        <v>141</v>
      </c>
      <c r="E68" s="13" t="s">
        <v>311</v>
      </c>
      <c r="F68" s="13"/>
      <c r="G68" s="13"/>
      <c r="H68" s="13"/>
      <c r="I68" s="13"/>
      <c r="J68" s="13"/>
      <c r="K68" s="8" t="s">
        <v>305</v>
      </c>
      <c r="L68" s="8"/>
      <c r="M68" s="8"/>
      <c r="N68" s="8"/>
    </row>
    <row r="69" customFormat="false" ht="15" hidden="false" customHeight="true" outlineLevel="0" collapsed="false">
      <c r="A69" s="7" t="s">
        <v>157</v>
      </c>
      <c r="B69" s="7"/>
      <c r="C69" s="7"/>
      <c r="D69" s="11" t="n">
        <f aca="false">COUNTIF(C61:C68,"Basis")</f>
        <v>4</v>
      </c>
      <c r="E69" s="17" t="str">
        <f aca="false">IF(D69=C56,"= V(G)  ✔","≠ V(G)")</f>
        <v>= V(G)  ✔</v>
      </c>
    </row>
    <row r="70" customFormat="false" ht="15" hidden="false" customHeight="true" outlineLevel="0" collapsed="false">
      <c r="A70" s="7" t="s">
        <v>158</v>
      </c>
      <c r="B70" s="7"/>
      <c r="C70" s="7"/>
      <c r="D70" s="11" t="n">
        <f aca="false">COUNTIF(D61:D68,"No")</f>
        <v>0</v>
      </c>
    </row>
    <row r="72" customFormat="false" ht="15" hidden="false" customHeight="true" outlineLevel="0" collapsed="false">
      <c r="A72" s="3" t="s">
        <v>159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customFormat="false" ht="15" hidden="false" customHeight="true" outlineLevel="0" collapsed="false">
      <c r="A73" s="5" t="s">
        <v>160</v>
      </c>
      <c r="B73" s="5" t="s">
        <v>161</v>
      </c>
      <c r="C73" s="5" t="s">
        <v>133</v>
      </c>
      <c r="D73" s="5" t="s">
        <v>162</v>
      </c>
      <c r="E73" s="5" t="s">
        <v>163</v>
      </c>
      <c r="F73" s="5" t="s">
        <v>164</v>
      </c>
      <c r="G73" s="5" t="s">
        <v>165</v>
      </c>
      <c r="H73" s="5" t="s">
        <v>166</v>
      </c>
      <c r="I73" s="5"/>
      <c r="J73" s="5"/>
      <c r="K73" s="5"/>
      <c r="L73" s="5"/>
    </row>
    <row r="74" customFormat="false" ht="27.75" hidden="false" customHeight="true" outlineLevel="0" collapsed="false">
      <c r="A74" s="6" t="s">
        <v>167</v>
      </c>
      <c r="B74" s="8" t="s">
        <v>312</v>
      </c>
      <c r="C74" s="6" t="s">
        <v>138</v>
      </c>
      <c r="D74" s="18" t="s">
        <v>313</v>
      </c>
      <c r="E74" s="19" t="n">
        <v>1</v>
      </c>
      <c r="F74" s="19" t="n">
        <v>1</v>
      </c>
      <c r="G74" s="20" t="str">
        <f aca="false">IF(F74="","Not run",IF(F74=E74,"Pass","Fail"))</f>
        <v>Pass</v>
      </c>
      <c r="H74" s="13" t="str">
        <f aca="false">INDEX($E$61:$E$68,MATCH(C74,$A$61:$A$68,0))</f>
        <v>1-2-3-4-7-2-8-9</v>
      </c>
      <c r="I74" s="13"/>
      <c r="J74" s="13"/>
      <c r="K74" s="13"/>
      <c r="L74" s="13"/>
    </row>
    <row r="75" customFormat="false" ht="27.75" hidden="false" customHeight="true" outlineLevel="0" collapsed="false">
      <c r="A75" s="6" t="s">
        <v>170</v>
      </c>
      <c r="B75" s="8" t="s">
        <v>314</v>
      </c>
      <c r="C75" s="6" t="s">
        <v>143</v>
      </c>
      <c r="D75" s="18" t="s">
        <v>315</v>
      </c>
      <c r="E75" s="19" t="n">
        <v>0</v>
      </c>
      <c r="F75" s="19" t="n">
        <v>0</v>
      </c>
      <c r="G75" s="20" t="str">
        <f aca="false">IF(F75="","Not run",IF(F75=E75,"Pass","Fail"))</f>
        <v>Pass</v>
      </c>
      <c r="H75" s="13" t="str">
        <f aca="false">INDEX($E$61:$E$68,MATCH(C75,$A$61:$A$68,0))</f>
        <v>1-2-8-9</v>
      </c>
      <c r="I75" s="13"/>
      <c r="J75" s="13"/>
      <c r="K75" s="13"/>
      <c r="L75" s="13"/>
    </row>
    <row r="76" customFormat="false" ht="27.75" hidden="false" customHeight="true" outlineLevel="0" collapsed="false">
      <c r="A76" s="6" t="s">
        <v>174</v>
      </c>
      <c r="B76" s="8" t="s">
        <v>316</v>
      </c>
      <c r="C76" s="6" t="s">
        <v>146</v>
      </c>
      <c r="D76" s="18" t="s">
        <v>317</v>
      </c>
      <c r="E76" s="19" t="n">
        <v>0</v>
      </c>
      <c r="F76" s="19" t="n">
        <v>0</v>
      </c>
      <c r="G76" s="20" t="str">
        <f aca="false">IF(F76="","Not run",IF(F76=E76,"Pass","Fail"))</f>
        <v>Pass</v>
      </c>
      <c r="H76" s="13" t="str">
        <f aca="false">INDEX($E$61:$E$68,MATCH(C76,$A$61:$A$68,0))</f>
        <v>1-2-3-5-7-2-8-9</v>
      </c>
      <c r="I76" s="13"/>
      <c r="J76" s="13"/>
      <c r="K76" s="13"/>
      <c r="L76" s="13"/>
    </row>
    <row r="77" customFormat="false" ht="27.75" hidden="false" customHeight="true" outlineLevel="0" collapsed="false">
      <c r="A77" s="6" t="s">
        <v>177</v>
      </c>
      <c r="B77" s="8" t="s">
        <v>318</v>
      </c>
      <c r="C77" s="6" t="s">
        <v>149</v>
      </c>
      <c r="D77" s="18" t="s">
        <v>319</v>
      </c>
      <c r="E77" s="19" t="n">
        <v>0.5</v>
      </c>
      <c r="F77" s="19" t="n">
        <v>0.5</v>
      </c>
      <c r="G77" s="20" t="str">
        <f aca="false">IF(F77="","Not run",IF(F77=E77,"Pass","Fail"))</f>
        <v>Pass</v>
      </c>
      <c r="H77" s="13" t="str">
        <f aca="false">INDEX($E$61:$E$68,MATCH(C77,$A$61:$A$68,0))</f>
        <v>1-2-3-5-6-7-2-8-9</v>
      </c>
      <c r="I77" s="13"/>
      <c r="J77" s="13"/>
      <c r="K77" s="13"/>
      <c r="L77" s="13"/>
    </row>
    <row r="78" customFormat="false" ht="27.75" hidden="false" customHeight="true" outlineLevel="0" collapsed="false">
      <c r="A78" s="6" t="s">
        <v>180</v>
      </c>
      <c r="B78" s="8" t="s">
        <v>320</v>
      </c>
      <c r="C78" s="6" t="s">
        <v>152</v>
      </c>
      <c r="D78" s="18" t="s">
        <v>321</v>
      </c>
      <c r="E78" s="19" t="n">
        <v>1.5</v>
      </c>
      <c r="F78" s="19" t="n">
        <v>1.5</v>
      </c>
      <c r="G78" s="20" t="str">
        <f aca="false">IF(F78="","Not run",IF(F78=E78,"Pass","Fail"))</f>
        <v>Pass</v>
      </c>
      <c r="H78" s="13" t="str">
        <f aca="false">INDEX($E$61:$E$68,MATCH(C78,$A$61:$A$68,0))</f>
        <v>1-2-3-4-7-2-3-5-6-7-2-3-5-7-2-8-9</v>
      </c>
      <c r="I78" s="13"/>
      <c r="J78" s="13"/>
      <c r="K78" s="13"/>
      <c r="L78" s="13"/>
    </row>
    <row r="79" customFormat="false" ht="27.75" hidden="false" customHeight="true" outlineLevel="0" collapsed="false">
      <c r="A79" s="6" t="s">
        <v>183</v>
      </c>
      <c r="B79" s="8" t="s">
        <v>322</v>
      </c>
      <c r="C79" s="6" t="s">
        <v>302</v>
      </c>
      <c r="D79" s="18" t="s">
        <v>323</v>
      </c>
      <c r="E79" s="19" t="n">
        <v>2</v>
      </c>
      <c r="F79" s="19" t="n">
        <v>2</v>
      </c>
      <c r="G79" s="20" t="str">
        <f aca="false">IF(F79="","Not run",IF(F79=E79,"Pass","Fail"))</f>
        <v>Pass</v>
      </c>
      <c r="H79" s="13" t="str">
        <f aca="false">INDEX($E$61:$E$68,MATCH(C79,$A$61:$A$68,0))</f>
        <v>1-2-3-4-7-2-3-4-7-2-8-9</v>
      </c>
      <c r="I79" s="13"/>
      <c r="J79" s="13"/>
      <c r="K79" s="13"/>
      <c r="L79" s="13"/>
    </row>
    <row r="80" customFormat="false" ht="27.75" hidden="false" customHeight="true" outlineLevel="0" collapsed="false">
      <c r="A80" s="6" t="s">
        <v>186</v>
      </c>
      <c r="B80" s="8" t="s">
        <v>324</v>
      </c>
      <c r="C80" s="6" t="s">
        <v>306</v>
      </c>
      <c r="D80" s="18" t="s">
        <v>325</v>
      </c>
      <c r="E80" s="19" t="n">
        <v>1.5</v>
      </c>
      <c r="F80" s="19" t="n">
        <v>1.5</v>
      </c>
      <c r="G80" s="20" t="str">
        <f aca="false">IF(F80="","Not run",IF(F80=E80,"Pass","Fail"))</f>
        <v>Pass</v>
      </c>
      <c r="H80" s="13" t="str">
        <f aca="false">INDEX($E$61:$E$68,MATCH(C80,$A$61:$A$68,0))</f>
        <v>1-2-3-5-6-7-2-3-4-7-2-8-9</v>
      </c>
      <c r="I80" s="13"/>
      <c r="J80" s="13"/>
      <c r="K80" s="13"/>
      <c r="L80" s="13"/>
    </row>
    <row r="81" customFormat="false" ht="27.75" hidden="false" customHeight="true" outlineLevel="0" collapsed="false">
      <c r="A81" s="6" t="s">
        <v>189</v>
      </c>
      <c r="B81" s="8" t="s">
        <v>326</v>
      </c>
      <c r="C81" s="6" t="s">
        <v>309</v>
      </c>
      <c r="D81" s="18" t="s">
        <v>327</v>
      </c>
      <c r="E81" s="19" t="n">
        <v>1</v>
      </c>
      <c r="F81" s="19" t="n">
        <v>1</v>
      </c>
      <c r="G81" s="20" t="str">
        <f aca="false">IF(F81="","Not run",IF(F81=E81,"Pass","Fail"))</f>
        <v>Pass</v>
      </c>
      <c r="H81" s="13" t="str">
        <f aca="false">INDEX($E$61:$E$68,MATCH(C81,$A$61:$A$68,0))</f>
        <v>1-2-3-4-7-2-3-5-7-2-8-9</v>
      </c>
      <c r="I81" s="13"/>
      <c r="J81" s="13"/>
      <c r="K81" s="13"/>
      <c r="L81" s="13"/>
    </row>
    <row r="83" customFormat="false" ht="15" hidden="false" customHeight="true" outlineLevel="0" collapsed="false">
      <c r="A83" s="3" t="s">
        <v>192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customFormat="false" ht="15" hidden="false" customHeight="false" outlineLevel="0" collapsed="false">
      <c r="A84" s="5" t="s">
        <v>76</v>
      </c>
      <c r="B84" s="5" t="s">
        <v>77</v>
      </c>
      <c r="C84" s="5" t="s">
        <v>78</v>
      </c>
      <c r="D84" s="5" t="s">
        <v>79</v>
      </c>
      <c r="E84" s="5" t="s">
        <v>167</v>
      </c>
      <c r="F84" s="5" t="s">
        <v>170</v>
      </c>
      <c r="G84" s="5" t="s">
        <v>174</v>
      </c>
      <c r="H84" s="5" t="s">
        <v>177</v>
      </c>
      <c r="I84" s="5" t="s">
        <v>180</v>
      </c>
      <c r="J84" s="5" t="s">
        <v>183</v>
      </c>
      <c r="K84" s="5" t="s">
        <v>186</v>
      </c>
      <c r="L84" s="5" t="s">
        <v>189</v>
      </c>
      <c r="M84" s="5" t="s">
        <v>193</v>
      </c>
      <c r="N84" s="5" t="s">
        <v>165</v>
      </c>
    </row>
    <row r="85" customFormat="false" ht="15" hidden="false" customHeight="true" outlineLevel="0" collapsed="false">
      <c r="A85" s="6" t="str">
        <f aca="false">G36</f>
        <v>E1</v>
      </c>
      <c r="B85" s="6" t="n">
        <f aca="false">H36</f>
        <v>1</v>
      </c>
      <c r="C85" s="6" t="n">
        <f aca="false">I36</f>
        <v>2</v>
      </c>
      <c r="D85" s="6" t="str">
        <f aca="false">J36</f>
        <v>-</v>
      </c>
      <c r="E85" s="21" t="n">
        <f aca="false">IF(ISNUMBER(SEARCH("-"&amp;$B85&amp;"-"&amp;$C85&amp;"-","-"&amp;INDEX($H$74:$H$81,MATCH(E$84,$A$74:$A$81,0))&amp;"-")),1,0)</f>
        <v>1</v>
      </c>
      <c r="F85" s="21" t="n">
        <f aca="false">IF(ISNUMBER(SEARCH("-"&amp;$B85&amp;"-"&amp;$C85&amp;"-","-"&amp;INDEX($H$74:$H$81,MATCH(F$84,$A$74:$A$81,0))&amp;"-")),1,0)</f>
        <v>1</v>
      </c>
      <c r="G85" s="21" t="n">
        <f aca="false">IF(ISNUMBER(SEARCH("-"&amp;$B85&amp;"-"&amp;$C85&amp;"-","-"&amp;INDEX($H$74:$H$81,MATCH(G$84,$A$74:$A$81,0))&amp;"-")),1,0)</f>
        <v>1</v>
      </c>
      <c r="H85" s="21" t="n">
        <f aca="false">IF(ISNUMBER(SEARCH("-"&amp;$B85&amp;"-"&amp;$C85&amp;"-","-"&amp;INDEX($H$74:$H$81,MATCH(H$84,$A$74:$A$81,0))&amp;"-")),1,0)</f>
        <v>1</v>
      </c>
      <c r="I85" s="21" t="n">
        <f aca="false">IF(ISNUMBER(SEARCH("-"&amp;$B85&amp;"-"&amp;$C85&amp;"-","-"&amp;INDEX($H$74:$H$81,MATCH(I$84,$A$74:$A$81,0))&amp;"-")),1,0)</f>
        <v>1</v>
      </c>
      <c r="J85" s="21" t="n">
        <f aca="false">IF(ISNUMBER(SEARCH("-"&amp;$B85&amp;"-"&amp;$C85&amp;"-","-"&amp;INDEX($H$74:$H$81,MATCH(J$84,$A$74:$A$81,0))&amp;"-")),1,0)</f>
        <v>1</v>
      </c>
      <c r="K85" s="21" t="n">
        <f aca="false">IF(ISNUMBER(SEARCH("-"&amp;$B85&amp;"-"&amp;$C85&amp;"-","-"&amp;INDEX($H$74:$H$81,MATCH(K$84,$A$74:$A$81,0))&amp;"-")),1,0)</f>
        <v>1</v>
      </c>
      <c r="L85" s="21" t="n">
        <f aca="false">IF(ISNUMBER(SEARCH("-"&amp;$B85&amp;"-"&amp;$C85&amp;"-","-"&amp;INDEX($H$74:$H$81,MATCH(L$84,$A$74:$A$81,0))&amp;"-")),1,0)</f>
        <v>1</v>
      </c>
      <c r="M85" s="6" t="n">
        <f aca="false">SUM(E85:L85)</f>
        <v>8</v>
      </c>
      <c r="N85" s="6" t="str">
        <f aca="false">IF(M85&gt;0,"Covered","NOT covered")</f>
        <v>Covered</v>
      </c>
    </row>
    <row r="86" customFormat="false" ht="15" hidden="false" customHeight="true" outlineLevel="0" collapsed="false">
      <c r="A86" s="6" t="str">
        <f aca="false">G37</f>
        <v>E2</v>
      </c>
      <c r="B86" s="6" t="n">
        <f aca="false">H37</f>
        <v>2</v>
      </c>
      <c r="C86" s="6" t="n">
        <f aca="false">I37</f>
        <v>3</v>
      </c>
      <c r="D86" s="6" t="str">
        <f aca="false">J37</f>
        <v>T</v>
      </c>
      <c r="E86" s="21" t="n">
        <f aca="false">IF(ISNUMBER(SEARCH("-"&amp;$B86&amp;"-"&amp;$C86&amp;"-","-"&amp;INDEX($H$74:$H$81,MATCH(E$84,$A$74:$A$81,0))&amp;"-")),1,0)</f>
        <v>1</v>
      </c>
      <c r="F86" s="21" t="n">
        <f aca="false">IF(ISNUMBER(SEARCH("-"&amp;$B86&amp;"-"&amp;$C86&amp;"-","-"&amp;INDEX($H$74:$H$81,MATCH(F$84,$A$74:$A$81,0))&amp;"-")),1,0)</f>
        <v>0</v>
      </c>
      <c r="G86" s="21" t="n">
        <f aca="false">IF(ISNUMBER(SEARCH("-"&amp;$B86&amp;"-"&amp;$C86&amp;"-","-"&amp;INDEX($H$74:$H$81,MATCH(G$84,$A$74:$A$81,0))&amp;"-")),1,0)</f>
        <v>1</v>
      </c>
      <c r="H86" s="21" t="n">
        <f aca="false">IF(ISNUMBER(SEARCH("-"&amp;$B86&amp;"-"&amp;$C86&amp;"-","-"&amp;INDEX($H$74:$H$81,MATCH(H$84,$A$74:$A$81,0))&amp;"-")),1,0)</f>
        <v>1</v>
      </c>
      <c r="I86" s="21" t="n">
        <f aca="false">IF(ISNUMBER(SEARCH("-"&amp;$B86&amp;"-"&amp;$C86&amp;"-","-"&amp;INDEX($H$74:$H$81,MATCH(I$84,$A$74:$A$81,0))&amp;"-")),1,0)</f>
        <v>1</v>
      </c>
      <c r="J86" s="21" t="n">
        <f aca="false">IF(ISNUMBER(SEARCH("-"&amp;$B86&amp;"-"&amp;$C86&amp;"-","-"&amp;INDEX($H$74:$H$81,MATCH(J$84,$A$74:$A$81,0))&amp;"-")),1,0)</f>
        <v>1</v>
      </c>
      <c r="K86" s="21" t="n">
        <f aca="false">IF(ISNUMBER(SEARCH("-"&amp;$B86&amp;"-"&amp;$C86&amp;"-","-"&amp;INDEX($H$74:$H$81,MATCH(K$84,$A$74:$A$81,0))&amp;"-")),1,0)</f>
        <v>1</v>
      </c>
      <c r="L86" s="21" t="n">
        <f aca="false">IF(ISNUMBER(SEARCH("-"&amp;$B86&amp;"-"&amp;$C86&amp;"-","-"&amp;INDEX($H$74:$H$81,MATCH(L$84,$A$74:$A$81,0))&amp;"-")),1,0)</f>
        <v>1</v>
      </c>
      <c r="M86" s="6" t="n">
        <f aca="false">SUM(E86:L86)</f>
        <v>7</v>
      </c>
      <c r="N86" s="6" t="str">
        <f aca="false">IF(M86&gt;0,"Covered","NOT covered")</f>
        <v>Covered</v>
      </c>
    </row>
    <row r="87" customFormat="false" ht="15" hidden="false" customHeight="true" outlineLevel="0" collapsed="false">
      <c r="A87" s="6" t="str">
        <f aca="false">G38</f>
        <v>E3</v>
      </c>
      <c r="B87" s="6" t="n">
        <f aca="false">H38</f>
        <v>2</v>
      </c>
      <c r="C87" s="6" t="n">
        <f aca="false">I38</f>
        <v>8</v>
      </c>
      <c r="D87" s="6" t="str">
        <f aca="false">J38</f>
        <v>F</v>
      </c>
      <c r="E87" s="21" t="n">
        <f aca="false">IF(ISNUMBER(SEARCH("-"&amp;$B87&amp;"-"&amp;$C87&amp;"-","-"&amp;INDEX($H$74:$H$81,MATCH(E$84,$A$74:$A$81,0))&amp;"-")),1,0)</f>
        <v>1</v>
      </c>
      <c r="F87" s="21" t="n">
        <f aca="false">IF(ISNUMBER(SEARCH("-"&amp;$B87&amp;"-"&amp;$C87&amp;"-","-"&amp;INDEX($H$74:$H$81,MATCH(F$84,$A$74:$A$81,0))&amp;"-")),1,0)</f>
        <v>1</v>
      </c>
      <c r="G87" s="21" t="n">
        <f aca="false">IF(ISNUMBER(SEARCH("-"&amp;$B87&amp;"-"&amp;$C87&amp;"-","-"&amp;INDEX($H$74:$H$81,MATCH(G$84,$A$74:$A$81,0))&amp;"-")),1,0)</f>
        <v>1</v>
      </c>
      <c r="H87" s="21" t="n">
        <f aca="false">IF(ISNUMBER(SEARCH("-"&amp;$B87&amp;"-"&amp;$C87&amp;"-","-"&amp;INDEX($H$74:$H$81,MATCH(H$84,$A$74:$A$81,0))&amp;"-")),1,0)</f>
        <v>1</v>
      </c>
      <c r="I87" s="21" t="n">
        <f aca="false">IF(ISNUMBER(SEARCH("-"&amp;$B87&amp;"-"&amp;$C87&amp;"-","-"&amp;INDEX($H$74:$H$81,MATCH(I$84,$A$74:$A$81,0))&amp;"-")),1,0)</f>
        <v>1</v>
      </c>
      <c r="J87" s="21" t="n">
        <f aca="false">IF(ISNUMBER(SEARCH("-"&amp;$B87&amp;"-"&amp;$C87&amp;"-","-"&amp;INDEX($H$74:$H$81,MATCH(J$84,$A$74:$A$81,0))&amp;"-")),1,0)</f>
        <v>1</v>
      </c>
      <c r="K87" s="21" t="n">
        <f aca="false">IF(ISNUMBER(SEARCH("-"&amp;$B87&amp;"-"&amp;$C87&amp;"-","-"&amp;INDEX($H$74:$H$81,MATCH(K$84,$A$74:$A$81,0))&amp;"-")),1,0)</f>
        <v>1</v>
      </c>
      <c r="L87" s="21" t="n">
        <f aca="false">IF(ISNUMBER(SEARCH("-"&amp;$B87&amp;"-"&amp;$C87&amp;"-","-"&amp;INDEX($H$74:$H$81,MATCH(L$84,$A$74:$A$81,0))&amp;"-")),1,0)</f>
        <v>1</v>
      </c>
      <c r="M87" s="6" t="n">
        <f aca="false">SUM(E87:L87)</f>
        <v>8</v>
      </c>
      <c r="N87" s="6" t="str">
        <f aca="false">IF(M87&gt;0,"Covered","NOT covered")</f>
        <v>Covered</v>
      </c>
    </row>
    <row r="88" customFormat="false" ht="15" hidden="false" customHeight="true" outlineLevel="0" collapsed="false">
      <c r="A88" s="6" t="str">
        <f aca="false">G39</f>
        <v>E4</v>
      </c>
      <c r="B88" s="6" t="n">
        <f aca="false">H39</f>
        <v>3</v>
      </c>
      <c r="C88" s="6" t="n">
        <f aca="false">I39</f>
        <v>4</v>
      </c>
      <c r="D88" s="6" t="str">
        <f aca="false">J39</f>
        <v>T</v>
      </c>
      <c r="E88" s="21" t="n">
        <f aca="false">IF(ISNUMBER(SEARCH("-"&amp;$B88&amp;"-"&amp;$C88&amp;"-","-"&amp;INDEX($H$74:$H$81,MATCH(E$84,$A$74:$A$81,0))&amp;"-")),1,0)</f>
        <v>1</v>
      </c>
      <c r="F88" s="21" t="n">
        <f aca="false">IF(ISNUMBER(SEARCH("-"&amp;$B88&amp;"-"&amp;$C88&amp;"-","-"&amp;INDEX($H$74:$H$81,MATCH(F$84,$A$74:$A$81,0))&amp;"-")),1,0)</f>
        <v>0</v>
      </c>
      <c r="G88" s="21" t="n">
        <f aca="false">IF(ISNUMBER(SEARCH("-"&amp;$B88&amp;"-"&amp;$C88&amp;"-","-"&amp;INDEX($H$74:$H$81,MATCH(G$84,$A$74:$A$81,0))&amp;"-")),1,0)</f>
        <v>0</v>
      </c>
      <c r="H88" s="21" t="n">
        <f aca="false">IF(ISNUMBER(SEARCH("-"&amp;$B88&amp;"-"&amp;$C88&amp;"-","-"&amp;INDEX($H$74:$H$81,MATCH(H$84,$A$74:$A$81,0))&amp;"-")),1,0)</f>
        <v>0</v>
      </c>
      <c r="I88" s="21" t="n">
        <f aca="false">IF(ISNUMBER(SEARCH("-"&amp;$B88&amp;"-"&amp;$C88&amp;"-","-"&amp;INDEX($H$74:$H$81,MATCH(I$84,$A$74:$A$81,0))&amp;"-")),1,0)</f>
        <v>1</v>
      </c>
      <c r="J88" s="21" t="n">
        <f aca="false">IF(ISNUMBER(SEARCH("-"&amp;$B88&amp;"-"&amp;$C88&amp;"-","-"&amp;INDEX($H$74:$H$81,MATCH(J$84,$A$74:$A$81,0))&amp;"-")),1,0)</f>
        <v>1</v>
      </c>
      <c r="K88" s="21" t="n">
        <f aca="false">IF(ISNUMBER(SEARCH("-"&amp;$B88&amp;"-"&amp;$C88&amp;"-","-"&amp;INDEX($H$74:$H$81,MATCH(K$84,$A$74:$A$81,0))&amp;"-")),1,0)</f>
        <v>1</v>
      </c>
      <c r="L88" s="21" t="n">
        <f aca="false">IF(ISNUMBER(SEARCH("-"&amp;$B88&amp;"-"&amp;$C88&amp;"-","-"&amp;INDEX($H$74:$H$81,MATCH(L$84,$A$74:$A$81,0))&amp;"-")),1,0)</f>
        <v>1</v>
      </c>
      <c r="M88" s="6" t="n">
        <f aca="false">SUM(E88:L88)</f>
        <v>5</v>
      </c>
      <c r="N88" s="6" t="str">
        <f aca="false">IF(M88&gt;0,"Covered","NOT covered")</f>
        <v>Covered</v>
      </c>
    </row>
    <row r="89" customFormat="false" ht="15" hidden="false" customHeight="true" outlineLevel="0" collapsed="false">
      <c r="A89" s="6" t="str">
        <f aca="false">G40</f>
        <v>E5</v>
      </c>
      <c r="B89" s="6" t="n">
        <f aca="false">H40</f>
        <v>3</v>
      </c>
      <c r="C89" s="6" t="n">
        <f aca="false">I40</f>
        <v>5</v>
      </c>
      <c r="D89" s="6" t="str">
        <f aca="false">J40</f>
        <v>F</v>
      </c>
      <c r="E89" s="21" t="n">
        <f aca="false">IF(ISNUMBER(SEARCH("-"&amp;$B89&amp;"-"&amp;$C89&amp;"-","-"&amp;INDEX($H$74:$H$81,MATCH(E$84,$A$74:$A$81,0))&amp;"-")),1,0)</f>
        <v>0</v>
      </c>
      <c r="F89" s="21" t="n">
        <f aca="false">IF(ISNUMBER(SEARCH("-"&amp;$B89&amp;"-"&amp;$C89&amp;"-","-"&amp;INDEX($H$74:$H$81,MATCH(F$84,$A$74:$A$81,0))&amp;"-")),1,0)</f>
        <v>0</v>
      </c>
      <c r="G89" s="21" t="n">
        <f aca="false">IF(ISNUMBER(SEARCH("-"&amp;$B89&amp;"-"&amp;$C89&amp;"-","-"&amp;INDEX($H$74:$H$81,MATCH(G$84,$A$74:$A$81,0))&amp;"-")),1,0)</f>
        <v>1</v>
      </c>
      <c r="H89" s="21" t="n">
        <f aca="false">IF(ISNUMBER(SEARCH("-"&amp;$B89&amp;"-"&amp;$C89&amp;"-","-"&amp;INDEX($H$74:$H$81,MATCH(H$84,$A$74:$A$81,0))&amp;"-")),1,0)</f>
        <v>1</v>
      </c>
      <c r="I89" s="21" t="n">
        <f aca="false">IF(ISNUMBER(SEARCH("-"&amp;$B89&amp;"-"&amp;$C89&amp;"-","-"&amp;INDEX($H$74:$H$81,MATCH(I$84,$A$74:$A$81,0))&amp;"-")),1,0)</f>
        <v>1</v>
      </c>
      <c r="J89" s="21" t="n">
        <f aca="false">IF(ISNUMBER(SEARCH("-"&amp;$B89&amp;"-"&amp;$C89&amp;"-","-"&amp;INDEX($H$74:$H$81,MATCH(J$84,$A$74:$A$81,0))&amp;"-")),1,0)</f>
        <v>0</v>
      </c>
      <c r="K89" s="21" t="n">
        <f aca="false">IF(ISNUMBER(SEARCH("-"&amp;$B89&amp;"-"&amp;$C89&amp;"-","-"&amp;INDEX($H$74:$H$81,MATCH(K$84,$A$74:$A$81,0))&amp;"-")),1,0)</f>
        <v>1</v>
      </c>
      <c r="L89" s="21" t="n">
        <f aca="false">IF(ISNUMBER(SEARCH("-"&amp;$B89&amp;"-"&amp;$C89&amp;"-","-"&amp;INDEX($H$74:$H$81,MATCH(L$84,$A$74:$A$81,0))&amp;"-")),1,0)</f>
        <v>1</v>
      </c>
      <c r="M89" s="6" t="n">
        <f aca="false">SUM(E89:L89)</f>
        <v>5</v>
      </c>
      <c r="N89" s="6" t="str">
        <f aca="false">IF(M89&gt;0,"Covered","NOT covered")</f>
        <v>Covered</v>
      </c>
    </row>
    <row r="90" customFormat="false" ht="15" hidden="false" customHeight="true" outlineLevel="0" collapsed="false">
      <c r="A90" s="6" t="str">
        <f aca="false">G41</f>
        <v>E6</v>
      </c>
      <c r="B90" s="6" t="n">
        <f aca="false">H41</f>
        <v>4</v>
      </c>
      <c r="C90" s="6" t="n">
        <f aca="false">I41</f>
        <v>7</v>
      </c>
      <c r="D90" s="6" t="str">
        <f aca="false">J41</f>
        <v>-</v>
      </c>
      <c r="E90" s="21" t="n">
        <f aca="false">IF(ISNUMBER(SEARCH("-"&amp;$B90&amp;"-"&amp;$C90&amp;"-","-"&amp;INDEX($H$74:$H$81,MATCH(E$84,$A$74:$A$81,0))&amp;"-")),1,0)</f>
        <v>1</v>
      </c>
      <c r="F90" s="21" t="n">
        <f aca="false">IF(ISNUMBER(SEARCH("-"&amp;$B90&amp;"-"&amp;$C90&amp;"-","-"&amp;INDEX($H$74:$H$81,MATCH(F$84,$A$74:$A$81,0))&amp;"-")),1,0)</f>
        <v>0</v>
      </c>
      <c r="G90" s="21" t="n">
        <f aca="false">IF(ISNUMBER(SEARCH("-"&amp;$B90&amp;"-"&amp;$C90&amp;"-","-"&amp;INDEX($H$74:$H$81,MATCH(G$84,$A$74:$A$81,0))&amp;"-")),1,0)</f>
        <v>0</v>
      </c>
      <c r="H90" s="21" t="n">
        <f aca="false">IF(ISNUMBER(SEARCH("-"&amp;$B90&amp;"-"&amp;$C90&amp;"-","-"&amp;INDEX($H$74:$H$81,MATCH(H$84,$A$74:$A$81,0))&amp;"-")),1,0)</f>
        <v>0</v>
      </c>
      <c r="I90" s="21" t="n">
        <f aca="false">IF(ISNUMBER(SEARCH("-"&amp;$B90&amp;"-"&amp;$C90&amp;"-","-"&amp;INDEX($H$74:$H$81,MATCH(I$84,$A$74:$A$81,0))&amp;"-")),1,0)</f>
        <v>1</v>
      </c>
      <c r="J90" s="21" t="n">
        <f aca="false">IF(ISNUMBER(SEARCH("-"&amp;$B90&amp;"-"&amp;$C90&amp;"-","-"&amp;INDEX($H$74:$H$81,MATCH(J$84,$A$74:$A$81,0))&amp;"-")),1,0)</f>
        <v>1</v>
      </c>
      <c r="K90" s="21" t="n">
        <f aca="false">IF(ISNUMBER(SEARCH("-"&amp;$B90&amp;"-"&amp;$C90&amp;"-","-"&amp;INDEX($H$74:$H$81,MATCH(K$84,$A$74:$A$81,0))&amp;"-")),1,0)</f>
        <v>1</v>
      </c>
      <c r="L90" s="21" t="n">
        <f aca="false">IF(ISNUMBER(SEARCH("-"&amp;$B90&amp;"-"&amp;$C90&amp;"-","-"&amp;INDEX($H$74:$H$81,MATCH(L$84,$A$74:$A$81,0))&amp;"-")),1,0)</f>
        <v>1</v>
      </c>
      <c r="M90" s="6" t="n">
        <f aca="false">SUM(E90:L90)</f>
        <v>5</v>
      </c>
      <c r="N90" s="6" t="str">
        <f aca="false">IF(M90&gt;0,"Covered","NOT covered")</f>
        <v>Covered</v>
      </c>
    </row>
    <row r="91" customFormat="false" ht="15" hidden="false" customHeight="true" outlineLevel="0" collapsed="false">
      <c r="A91" s="6" t="str">
        <f aca="false">G42</f>
        <v>E7</v>
      </c>
      <c r="B91" s="6" t="n">
        <f aca="false">H42</f>
        <v>5</v>
      </c>
      <c r="C91" s="6" t="n">
        <f aca="false">I42</f>
        <v>6</v>
      </c>
      <c r="D91" s="6" t="str">
        <f aca="false">J42</f>
        <v>T</v>
      </c>
      <c r="E91" s="21" t="n">
        <f aca="false">IF(ISNUMBER(SEARCH("-"&amp;$B91&amp;"-"&amp;$C91&amp;"-","-"&amp;INDEX($H$74:$H$81,MATCH(E$84,$A$74:$A$81,0))&amp;"-")),1,0)</f>
        <v>0</v>
      </c>
      <c r="F91" s="21" t="n">
        <f aca="false">IF(ISNUMBER(SEARCH("-"&amp;$B91&amp;"-"&amp;$C91&amp;"-","-"&amp;INDEX($H$74:$H$81,MATCH(F$84,$A$74:$A$81,0))&amp;"-")),1,0)</f>
        <v>0</v>
      </c>
      <c r="G91" s="21" t="n">
        <f aca="false">IF(ISNUMBER(SEARCH("-"&amp;$B91&amp;"-"&amp;$C91&amp;"-","-"&amp;INDEX($H$74:$H$81,MATCH(G$84,$A$74:$A$81,0))&amp;"-")),1,0)</f>
        <v>0</v>
      </c>
      <c r="H91" s="21" t="n">
        <f aca="false">IF(ISNUMBER(SEARCH("-"&amp;$B91&amp;"-"&amp;$C91&amp;"-","-"&amp;INDEX($H$74:$H$81,MATCH(H$84,$A$74:$A$81,0))&amp;"-")),1,0)</f>
        <v>1</v>
      </c>
      <c r="I91" s="21" t="n">
        <f aca="false">IF(ISNUMBER(SEARCH("-"&amp;$B91&amp;"-"&amp;$C91&amp;"-","-"&amp;INDEX($H$74:$H$81,MATCH(I$84,$A$74:$A$81,0))&amp;"-")),1,0)</f>
        <v>1</v>
      </c>
      <c r="J91" s="21" t="n">
        <f aca="false">IF(ISNUMBER(SEARCH("-"&amp;$B91&amp;"-"&amp;$C91&amp;"-","-"&amp;INDEX($H$74:$H$81,MATCH(J$84,$A$74:$A$81,0))&amp;"-")),1,0)</f>
        <v>0</v>
      </c>
      <c r="K91" s="21" t="n">
        <f aca="false">IF(ISNUMBER(SEARCH("-"&amp;$B91&amp;"-"&amp;$C91&amp;"-","-"&amp;INDEX($H$74:$H$81,MATCH(K$84,$A$74:$A$81,0))&amp;"-")),1,0)</f>
        <v>1</v>
      </c>
      <c r="L91" s="21" t="n">
        <f aca="false">IF(ISNUMBER(SEARCH("-"&amp;$B91&amp;"-"&amp;$C91&amp;"-","-"&amp;INDEX($H$74:$H$81,MATCH(L$84,$A$74:$A$81,0))&amp;"-")),1,0)</f>
        <v>0</v>
      </c>
      <c r="M91" s="6" t="n">
        <f aca="false">SUM(E91:L91)</f>
        <v>3</v>
      </c>
      <c r="N91" s="6" t="str">
        <f aca="false">IF(M91&gt;0,"Covered","NOT covered")</f>
        <v>Covered</v>
      </c>
    </row>
    <row r="92" customFormat="false" ht="15" hidden="false" customHeight="true" outlineLevel="0" collapsed="false">
      <c r="A92" s="6" t="str">
        <f aca="false">G43</f>
        <v>E8</v>
      </c>
      <c r="B92" s="6" t="n">
        <f aca="false">H43</f>
        <v>5</v>
      </c>
      <c r="C92" s="6" t="n">
        <f aca="false">I43</f>
        <v>7</v>
      </c>
      <c r="D92" s="6" t="str">
        <f aca="false">J43</f>
        <v>F</v>
      </c>
      <c r="E92" s="21" t="n">
        <f aca="false">IF(ISNUMBER(SEARCH("-"&amp;$B92&amp;"-"&amp;$C92&amp;"-","-"&amp;INDEX($H$74:$H$81,MATCH(E$84,$A$74:$A$81,0))&amp;"-")),1,0)</f>
        <v>0</v>
      </c>
      <c r="F92" s="21" t="n">
        <f aca="false">IF(ISNUMBER(SEARCH("-"&amp;$B92&amp;"-"&amp;$C92&amp;"-","-"&amp;INDEX($H$74:$H$81,MATCH(F$84,$A$74:$A$81,0))&amp;"-")),1,0)</f>
        <v>0</v>
      </c>
      <c r="G92" s="21" t="n">
        <f aca="false">IF(ISNUMBER(SEARCH("-"&amp;$B92&amp;"-"&amp;$C92&amp;"-","-"&amp;INDEX($H$74:$H$81,MATCH(G$84,$A$74:$A$81,0))&amp;"-")),1,0)</f>
        <v>1</v>
      </c>
      <c r="H92" s="21" t="n">
        <f aca="false">IF(ISNUMBER(SEARCH("-"&amp;$B92&amp;"-"&amp;$C92&amp;"-","-"&amp;INDEX($H$74:$H$81,MATCH(H$84,$A$74:$A$81,0))&amp;"-")),1,0)</f>
        <v>0</v>
      </c>
      <c r="I92" s="21" t="n">
        <f aca="false">IF(ISNUMBER(SEARCH("-"&amp;$B92&amp;"-"&amp;$C92&amp;"-","-"&amp;INDEX($H$74:$H$81,MATCH(I$84,$A$74:$A$81,0))&amp;"-")),1,0)</f>
        <v>1</v>
      </c>
      <c r="J92" s="21" t="n">
        <f aca="false">IF(ISNUMBER(SEARCH("-"&amp;$B92&amp;"-"&amp;$C92&amp;"-","-"&amp;INDEX($H$74:$H$81,MATCH(J$84,$A$74:$A$81,0))&amp;"-")),1,0)</f>
        <v>0</v>
      </c>
      <c r="K92" s="21" t="n">
        <f aca="false">IF(ISNUMBER(SEARCH("-"&amp;$B92&amp;"-"&amp;$C92&amp;"-","-"&amp;INDEX($H$74:$H$81,MATCH(K$84,$A$74:$A$81,0))&amp;"-")),1,0)</f>
        <v>0</v>
      </c>
      <c r="L92" s="21" t="n">
        <f aca="false">IF(ISNUMBER(SEARCH("-"&amp;$B92&amp;"-"&amp;$C92&amp;"-","-"&amp;INDEX($H$74:$H$81,MATCH(L$84,$A$74:$A$81,0))&amp;"-")),1,0)</f>
        <v>1</v>
      </c>
      <c r="M92" s="6" t="n">
        <f aca="false">SUM(E92:L92)</f>
        <v>3</v>
      </c>
      <c r="N92" s="6" t="str">
        <f aca="false">IF(M92&gt;0,"Covered","NOT covered")</f>
        <v>Covered</v>
      </c>
    </row>
    <row r="93" customFormat="false" ht="15" hidden="false" customHeight="true" outlineLevel="0" collapsed="false">
      <c r="A93" s="6" t="str">
        <f aca="false">G44</f>
        <v>E9</v>
      </c>
      <c r="B93" s="6" t="n">
        <f aca="false">H44</f>
        <v>6</v>
      </c>
      <c r="C93" s="6" t="n">
        <f aca="false">I44</f>
        <v>7</v>
      </c>
      <c r="D93" s="6" t="str">
        <f aca="false">J44</f>
        <v>-</v>
      </c>
      <c r="E93" s="21" t="n">
        <f aca="false">IF(ISNUMBER(SEARCH("-"&amp;$B93&amp;"-"&amp;$C93&amp;"-","-"&amp;INDEX($H$74:$H$81,MATCH(E$84,$A$74:$A$81,0))&amp;"-")),1,0)</f>
        <v>0</v>
      </c>
      <c r="F93" s="21" t="n">
        <f aca="false">IF(ISNUMBER(SEARCH("-"&amp;$B93&amp;"-"&amp;$C93&amp;"-","-"&amp;INDEX($H$74:$H$81,MATCH(F$84,$A$74:$A$81,0))&amp;"-")),1,0)</f>
        <v>0</v>
      </c>
      <c r="G93" s="21" t="n">
        <f aca="false">IF(ISNUMBER(SEARCH("-"&amp;$B93&amp;"-"&amp;$C93&amp;"-","-"&amp;INDEX($H$74:$H$81,MATCH(G$84,$A$74:$A$81,0))&amp;"-")),1,0)</f>
        <v>0</v>
      </c>
      <c r="H93" s="21" t="n">
        <f aca="false">IF(ISNUMBER(SEARCH("-"&amp;$B93&amp;"-"&amp;$C93&amp;"-","-"&amp;INDEX($H$74:$H$81,MATCH(H$84,$A$74:$A$81,0))&amp;"-")),1,0)</f>
        <v>1</v>
      </c>
      <c r="I93" s="21" t="n">
        <f aca="false">IF(ISNUMBER(SEARCH("-"&amp;$B93&amp;"-"&amp;$C93&amp;"-","-"&amp;INDEX($H$74:$H$81,MATCH(I$84,$A$74:$A$81,0))&amp;"-")),1,0)</f>
        <v>1</v>
      </c>
      <c r="J93" s="21" t="n">
        <f aca="false">IF(ISNUMBER(SEARCH("-"&amp;$B93&amp;"-"&amp;$C93&amp;"-","-"&amp;INDEX($H$74:$H$81,MATCH(J$84,$A$74:$A$81,0))&amp;"-")),1,0)</f>
        <v>0</v>
      </c>
      <c r="K93" s="21" t="n">
        <f aca="false">IF(ISNUMBER(SEARCH("-"&amp;$B93&amp;"-"&amp;$C93&amp;"-","-"&amp;INDEX($H$74:$H$81,MATCH(K$84,$A$74:$A$81,0))&amp;"-")),1,0)</f>
        <v>1</v>
      </c>
      <c r="L93" s="21" t="n">
        <f aca="false">IF(ISNUMBER(SEARCH("-"&amp;$B93&amp;"-"&amp;$C93&amp;"-","-"&amp;INDEX($H$74:$H$81,MATCH(L$84,$A$74:$A$81,0))&amp;"-")),1,0)</f>
        <v>0</v>
      </c>
      <c r="M93" s="6" t="n">
        <f aca="false">SUM(E93:L93)</f>
        <v>3</v>
      </c>
      <c r="N93" s="6" t="str">
        <f aca="false">IF(M93&gt;0,"Covered","NOT covered")</f>
        <v>Covered</v>
      </c>
    </row>
    <row r="94" customFormat="false" ht="15" hidden="false" customHeight="true" outlineLevel="0" collapsed="false">
      <c r="A94" s="6" t="str">
        <f aca="false">G45</f>
        <v>E10</v>
      </c>
      <c r="B94" s="6" t="n">
        <f aca="false">H45</f>
        <v>7</v>
      </c>
      <c r="C94" s="6" t="n">
        <f aca="false">I45</f>
        <v>2</v>
      </c>
      <c r="D94" s="6" t="str">
        <f aca="false">J45</f>
        <v>-</v>
      </c>
      <c r="E94" s="21" t="n">
        <f aca="false">IF(ISNUMBER(SEARCH("-"&amp;$B94&amp;"-"&amp;$C94&amp;"-","-"&amp;INDEX($H$74:$H$81,MATCH(E$84,$A$74:$A$81,0))&amp;"-")),1,0)</f>
        <v>1</v>
      </c>
      <c r="F94" s="21" t="n">
        <f aca="false">IF(ISNUMBER(SEARCH("-"&amp;$B94&amp;"-"&amp;$C94&amp;"-","-"&amp;INDEX($H$74:$H$81,MATCH(F$84,$A$74:$A$81,0))&amp;"-")),1,0)</f>
        <v>0</v>
      </c>
      <c r="G94" s="21" t="n">
        <f aca="false">IF(ISNUMBER(SEARCH("-"&amp;$B94&amp;"-"&amp;$C94&amp;"-","-"&amp;INDEX($H$74:$H$81,MATCH(G$84,$A$74:$A$81,0))&amp;"-")),1,0)</f>
        <v>1</v>
      </c>
      <c r="H94" s="21" t="n">
        <f aca="false">IF(ISNUMBER(SEARCH("-"&amp;$B94&amp;"-"&amp;$C94&amp;"-","-"&amp;INDEX($H$74:$H$81,MATCH(H$84,$A$74:$A$81,0))&amp;"-")),1,0)</f>
        <v>1</v>
      </c>
      <c r="I94" s="21" t="n">
        <f aca="false">IF(ISNUMBER(SEARCH("-"&amp;$B94&amp;"-"&amp;$C94&amp;"-","-"&amp;INDEX($H$74:$H$81,MATCH(I$84,$A$74:$A$81,0))&amp;"-")),1,0)</f>
        <v>1</v>
      </c>
      <c r="J94" s="21" t="n">
        <f aca="false">IF(ISNUMBER(SEARCH("-"&amp;$B94&amp;"-"&amp;$C94&amp;"-","-"&amp;INDEX($H$74:$H$81,MATCH(J$84,$A$74:$A$81,0))&amp;"-")),1,0)</f>
        <v>1</v>
      </c>
      <c r="K94" s="21" t="n">
        <f aca="false">IF(ISNUMBER(SEARCH("-"&amp;$B94&amp;"-"&amp;$C94&amp;"-","-"&amp;INDEX($H$74:$H$81,MATCH(K$84,$A$74:$A$81,0))&amp;"-")),1,0)</f>
        <v>1</v>
      </c>
      <c r="L94" s="21" t="n">
        <f aca="false">IF(ISNUMBER(SEARCH("-"&amp;$B94&amp;"-"&amp;$C94&amp;"-","-"&amp;INDEX($H$74:$H$81,MATCH(L$84,$A$74:$A$81,0))&amp;"-")),1,0)</f>
        <v>1</v>
      </c>
      <c r="M94" s="6" t="n">
        <f aca="false">SUM(E94:L94)</f>
        <v>7</v>
      </c>
      <c r="N94" s="6" t="str">
        <f aca="false">IF(M94&gt;0,"Covered","NOT covered")</f>
        <v>Covered</v>
      </c>
    </row>
    <row r="95" customFormat="false" ht="15" hidden="false" customHeight="true" outlineLevel="0" collapsed="false">
      <c r="A95" s="6" t="str">
        <f aca="false">G46</f>
        <v>E11</v>
      </c>
      <c r="B95" s="6" t="n">
        <f aca="false">H46</f>
        <v>8</v>
      </c>
      <c r="C95" s="6" t="n">
        <f aca="false">I46</f>
        <v>9</v>
      </c>
      <c r="D95" s="6" t="str">
        <f aca="false">J46</f>
        <v>-</v>
      </c>
      <c r="E95" s="21" t="n">
        <f aca="false">IF(ISNUMBER(SEARCH("-"&amp;$B95&amp;"-"&amp;$C95&amp;"-","-"&amp;INDEX($H$74:$H$81,MATCH(E$84,$A$74:$A$81,0))&amp;"-")),1,0)</f>
        <v>1</v>
      </c>
      <c r="F95" s="21" t="n">
        <f aca="false">IF(ISNUMBER(SEARCH("-"&amp;$B95&amp;"-"&amp;$C95&amp;"-","-"&amp;INDEX($H$74:$H$81,MATCH(F$84,$A$74:$A$81,0))&amp;"-")),1,0)</f>
        <v>1</v>
      </c>
      <c r="G95" s="21" t="n">
        <f aca="false">IF(ISNUMBER(SEARCH("-"&amp;$B95&amp;"-"&amp;$C95&amp;"-","-"&amp;INDEX($H$74:$H$81,MATCH(G$84,$A$74:$A$81,0))&amp;"-")),1,0)</f>
        <v>1</v>
      </c>
      <c r="H95" s="21" t="n">
        <f aca="false">IF(ISNUMBER(SEARCH("-"&amp;$B95&amp;"-"&amp;$C95&amp;"-","-"&amp;INDEX($H$74:$H$81,MATCH(H$84,$A$74:$A$81,0))&amp;"-")),1,0)</f>
        <v>1</v>
      </c>
      <c r="I95" s="21" t="n">
        <f aca="false">IF(ISNUMBER(SEARCH("-"&amp;$B95&amp;"-"&amp;$C95&amp;"-","-"&amp;INDEX($H$74:$H$81,MATCH(I$84,$A$74:$A$81,0))&amp;"-")),1,0)</f>
        <v>1</v>
      </c>
      <c r="J95" s="21" t="n">
        <f aca="false">IF(ISNUMBER(SEARCH("-"&amp;$B95&amp;"-"&amp;$C95&amp;"-","-"&amp;INDEX($H$74:$H$81,MATCH(J$84,$A$74:$A$81,0))&amp;"-")),1,0)</f>
        <v>1</v>
      </c>
      <c r="K95" s="21" t="n">
        <f aca="false">IF(ISNUMBER(SEARCH("-"&amp;$B95&amp;"-"&amp;$C95&amp;"-","-"&amp;INDEX($H$74:$H$81,MATCH(K$84,$A$74:$A$81,0))&amp;"-")),1,0)</f>
        <v>1</v>
      </c>
      <c r="L95" s="21" t="n">
        <f aca="false">IF(ISNUMBER(SEARCH("-"&amp;$B95&amp;"-"&amp;$C95&amp;"-","-"&amp;INDEX($H$74:$H$81,MATCH(L$84,$A$74:$A$81,0))&amp;"-")),1,0)</f>
        <v>1</v>
      </c>
      <c r="M95" s="6" t="n">
        <f aca="false">SUM(E95:L95)</f>
        <v>8</v>
      </c>
      <c r="N95" s="6" t="str">
        <f aca="false">IF(M95&gt;0,"Covered","NOT covered")</f>
        <v>Covered</v>
      </c>
    </row>
    <row r="97" customFormat="false" ht="15" hidden="false" customHeight="false" outlineLevel="0" collapsed="false">
      <c r="A97" s="5" t="s">
        <v>54</v>
      </c>
      <c r="B97" s="5" t="s">
        <v>73</v>
      </c>
      <c r="C97" s="5"/>
      <c r="D97" s="5"/>
      <c r="E97" s="5" t="s">
        <v>167</v>
      </c>
      <c r="F97" s="5" t="s">
        <v>170</v>
      </c>
      <c r="G97" s="5" t="s">
        <v>174</v>
      </c>
      <c r="H97" s="5" t="s">
        <v>177</v>
      </c>
      <c r="I97" s="5" t="s">
        <v>180</v>
      </c>
      <c r="J97" s="5" t="s">
        <v>183</v>
      </c>
      <c r="K97" s="5" t="s">
        <v>186</v>
      </c>
      <c r="L97" s="5" t="s">
        <v>189</v>
      </c>
      <c r="M97" s="5" t="s">
        <v>193</v>
      </c>
      <c r="N97" s="5" t="s">
        <v>165</v>
      </c>
    </row>
    <row r="98" customFormat="false" ht="15" hidden="false" customHeight="true" outlineLevel="0" collapsed="false">
      <c r="A98" s="6" t="n">
        <f aca="false">A36</f>
        <v>1</v>
      </c>
      <c r="B98" s="6" t="str">
        <f aca="false">C36</f>
        <v>Start</v>
      </c>
      <c r="C98" s="22"/>
      <c r="D98" s="22"/>
      <c r="E98" s="21" t="n">
        <f aca="false">IF(ISNUMBER(SEARCH("-"&amp;$A98&amp;"-","-"&amp;INDEX($H$74:$H$81,MATCH(E$97,$A$74:$A$81,0))&amp;"-")),1,0)</f>
        <v>1</v>
      </c>
      <c r="F98" s="21" t="n">
        <f aca="false">IF(ISNUMBER(SEARCH("-"&amp;$A98&amp;"-","-"&amp;INDEX($H$74:$H$81,MATCH(F$97,$A$74:$A$81,0))&amp;"-")),1,0)</f>
        <v>1</v>
      </c>
      <c r="G98" s="21" t="n">
        <f aca="false">IF(ISNUMBER(SEARCH("-"&amp;$A98&amp;"-","-"&amp;INDEX($H$74:$H$81,MATCH(G$97,$A$74:$A$81,0))&amp;"-")),1,0)</f>
        <v>1</v>
      </c>
      <c r="H98" s="21" t="n">
        <f aca="false">IF(ISNUMBER(SEARCH("-"&amp;$A98&amp;"-","-"&amp;INDEX($H$74:$H$81,MATCH(H$97,$A$74:$A$81,0))&amp;"-")),1,0)</f>
        <v>1</v>
      </c>
      <c r="I98" s="21" t="n">
        <f aca="false">IF(ISNUMBER(SEARCH("-"&amp;$A98&amp;"-","-"&amp;INDEX($H$74:$H$81,MATCH(I$97,$A$74:$A$81,0))&amp;"-")),1,0)</f>
        <v>1</v>
      </c>
      <c r="J98" s="21" t="n">
        <f aca="false">IF(ISNUMBER(SEARCH("-"&amp;$A98&amp;"-","-"&amp;INDEX($H$74:$H$81,MATCH(J$97,$A$74:$A$81,0))&amp;"-")),1,0)</f>
        <v>1</v>
      </c>
      <c r="K98" s="21" t="n">
        <f aca="false">IF(ISNUMBER(SEARCH("-"&amp;$A98&amp;"-","-"&amp;INDEX($H$74:$H$81,MATCH(K$97,$A$74:$A$81,0))&amp;"-")),1,0)</f>
        <v>1</v>
      </c>
      <c r="L98" s="21" t="n">
        <f aca="false">IF(ISNUMBER(SEARCH("-"&amp;$A98&amp;"-","-"&amp;INDEX($H$74:$H$81,MATCH(L$97,$A$74:$A$81,0))&amp;"-")),1,0)</f>
        <v>1</v>
      </c>
      <c r="M98" s="6" t="n">
        <f aca="false">SUM(E98:L98)</f>
        <v>8</v>
      </c>
      <c r="N98" s="6" t="str">
        <f aca="false">IF(M98&gt;0,"Covered","NOT covered")</f>
        <v>Covered</v>
      </c>
    </row>
    <row r="99" customFormat="false" ht="15" hidden="false" customHeight="true" outlineLevel="0" collapsed="false">
      <c r="A99" s="6" t="n">
        <f aca="false">A37</f>
        <v>2</v>
      </c>
      <c r="B99" s="6" t="str">
        <f aca="false">C37</f>
        <v>Decision</v>
      </c>
      <c r="C99" s="22"/>
      <c r="D99" s="22"/>
      <c r="E99" s="21" t="n">
        <f aca="false">IF(ISNUMBER(SEARCH("-"&amp;$A99&amp;"-","-"&amp;INDEX($H$74:$H$81,MATCH(E$97,$A$74:$A$81,0))&amp;"-")),1,0)</f>
        <v>1</v>
      </c>
      <c r="F99" s="21" t="n">
        <f aca="false">IF(ISNUMBER(SEARCH("-"&amp;$A99&amp;"-","-"&amp;INDEX($H$74:$H$81,MATCH(F$97,$A$74:$A$81,0))&amp;"-")),1,0)</f>
        <v>1</v>
      </c>
      <c r="G99" s="21" t="n">
        <f aca="false">IF(ISNUMBER(SEARCH("-"&amp;$A99&amp;"-","-"&amp;INDEX($H$74:$H$81,MATCH(G$97,$A$74:$A$81,0))&amp;"-")),1,0)</f>
        <v>1</v>
      </c>
      <c r="H99" s="21" t="n">
        <f aca="false">IF(ISNUMBER(SEARCH("-"&amp;$A99&amp;"-","-"&amp;INDEX($H$74:$H$81,MATCH(H$97,$A$74:$A$81,0))&amp;"-")),1,0)</f>
        <v>1</v>
      </c>
      <c r="I99" s="21" t="n">
        <f aca="false">IF(ISNUMBER(SEARCH("-"&amp;$A99&amp;"-","-"&amp;INDEX($H$74:$H$81,MATCH(I$97,$A$74:$A$81,0))&amp;"-")),1,0)</f>
        <v>1</v>
      </c>
      <c r="J99" s="21" t="n">
        <f aca="false">IF(ISNUMBER(SEARCH("-"&amp;$A99&amp;"-","-"&amp;INDEX($H$74:$H$81,MATCH(J$97,$A$74:$A$81,0))&amp;"-")),1,0)</f>
        <v>1</v>
      </c>
      <c r="K99" s="21" t="n">
        <f aca="false">IF(ISNUMBER(SEARCH("-"&amp;$A99&amp;"-","-"&amp;INDEX($H$74:$H$81,MATCH(K$97,$A$74:$A$81,0))&amp;"-")),1,0)</f>
        <v>1</v>
      </c>
      <c r="L99" s="21" t="n">
        <f aca="false">IF(ISNUMBER(SEARCH("-"&amp;$A99&amp;"-","-"&amp;INDEX($H$74:$H$81,MATCH(L$97,$A$74:$A$81,0))&amp;"-")),1,0)</f>
        <v>1</v>
      </c>
      <c r="M99" s="6" t="n">
        <f aca="false">SUM(E99:L99)</f>
        <v>8</v>
      </c>
      <c r="N99" s="6" t="str">
        <f aca="false">IF(M99&gt;0,"Covered","NOT covered")</f>
        <v>Covered</v>
      </c>
    </row>
    <row r="100" customFormat="false" ht="15" hidden="false" customHeight="true" outlineLevel="0" collapsed="false">
      <c r="A100" s="6" t="n">
        <f aca="false">A38</f>
        <v>3</v>
      </c>
      <c r="B100" s="6" t="str">
        <f aca="false">C38</f>
        <v>Decision</v>
      </c>
      <c r="C100" s="22"/>
      <c r="D100" s="22"/>
      <c r="E100" s="21" t="n">
        <f aca="false">IF(ISNUMBER(SEARCH("-"&amp;$A100&amp;"-","-"&amp;INDEX($H$74:$H$81,MATCH(E$97,$A$74:$A$81,0))&amp;"-")),1,0)</f>
        <v>1</v>
      </c>
      <c r="F100" s="21" t="n">
        <f aca="false">IF(ISNUMBER(SEARCH("-"&amp;$A100&amp;"-","-"&amp;INDEX($H$74:$H$81,MATCH(F$97,$A$74:$A$81,0))&amp;"-")),1,0)</f>
        <v>0</v>
      </c>
      <c r="G100" s="21" t="n">
        <f aca="false">IF(ISNUMBER(SEARCH("-"&amp;$A100&amp;"-","-"&amp;INDEX($H$74:$H$81,MATCH(G$97,$A$74:$A$81,0))&amp;"-")),1,0)</f>
        <v>1</v>
      </c>
      <c r="H100" s="21" t="n">
        <f aca="false">IF(ISNUMBER(SEARCH("-"&amp;$A100&amp;"-","-"&amp;INDEX($H$74:$H$81,MATCH(H$97,$A$74:$A$81,0))&amp;"-")),1,0)</f>
        <v>1</v>
      </c>
      <c r="I100" s="21" t="n">
        <f aca="false">IF(ISNUMBER(SEARCH("-"&amp;$A100&amp;"-","-"&amp;INDEX($H$74:$H$81,MATCH(I$97,$A$74:$A$81,0))&amp;"-")),1,0)</f>
        <v>1</v>
      </c>
      <c r="J100" s="21" t="n">
        <f aca="false">IF(ISNUMBER(SEARCH("-"&amp;$A100&amp;"-","-"&amp;INDEX($H$74:$H$81,MATCH(J$97,$A$74:$A$81,0))&amp;"-")),1,0)</f>
        <v>1</v>
      </c>
      <c r="K100" s="21" t="n">
        <f aca="false">IF(ISNUMBER(SEARCH("-"&amp;$A100&amp;"-","-"&amp;INDEX($H$74:$H$81,MATCH(K$97,$A$74:$A$81,0))&amp;"-")),1,0)</f>
        <v>1</v>
      </c>
      <c r="L100" s="21" t="n">
        <f aca="false">IF(ISNUMBER(SEARCH("-"&amp;$A100&amp;"-","-"&amp;INDEX($H$74:$H$81,MATCH(L$97,$A$74:$A$81,0))&amp;"-")),1,0)</f>
        <v>1</v>
      </c>
      <c r="M100" s="6" t="n">
        <f aca="false">SUM(E100:L100)</f>
        <v>7</v>
      </c>
      <c r="N100" s="6" t="str">
        <f aca="false">IF(M100&gt;0,"Covered","NOT covered")</f>
        <v>Covered</v>
      </c>
    </row>
    <row r="101" customFormat="false" ht="15" hidden="false" customHeight="true" outlineLevel="0" collapsed="false">
      <c r="A101" s="6" t="n">
        <f aca="false">A39</f>
        <v>4</v>
      </c>
      <c r="B101" s="6" t="str">
        <f aca="false">C39</f>
        <v>Process</v>
      </c>
      <c r="C101" s="22"/>
      <c r="D101" s="22"/>
      <c r="E101" s="21" t="n">
        <f aca="false">IF(ISNUMBER(SEARCH("-"&amp;$A101&amp;"-","-"&amp;INDEX($H$74:$H$81,MATCH(E$97,$A$74:$A$81,0))&amp;"-")),1,0)</f>
        <v>1</v>
      </c>
      <c r="F101" s="21" t="n">
        <f aca="false">IF(ISNUMBER(SEARCH("-"&amp;$A101&amp;"-","-"&amp;INDEX($H$74:$H$81,MATCH(F$97,$A$74:$A$81,0))&amp;"-")),1,0)</f>
        <v>0</v>
      </c>
      <c r="G101" s="21" t="n">
        <f aca="false">IF(ISNUMBER(SEARCH("-"&amp;$A101&amp;"-","-"&amp;INDEX($H$74:$H$81,MATCH(G$97,$A$74:$A$81,0))&amp;"-")),1,0)</f>
        <v>0</v>
      </c>
      <c r="H101" s="21" t="n">
        <f aca="false">IF(ISNUMBER(SEARCH("-"&amp;$A101&amp;"-","-"&amp;INDEX($H$74:$H$81,MATCH(H$97,$A$74:$A$81,0))&amp;"-")),1,0)</f>
        <v>0</v>
      </c>
      <c r="I101" s="21" t="n">
        <f aca="false">IF(ISNUMBER(SEARCH("-"&amp;$A101&amp;"-","-"&amp;INDEX($H$74:$H$81,MATCH(I$97,$A$74:$A$81,0))&amp;"-")),1,0)</f>
        <v>1</v>
      </c>
      <c r="J101" s="21" t="n">
        <f aca="false">IF(ISNUMBER(SEARCH("-"&amp;$A101&amp;"-","-"&amp;INDEX($H$74:$H$81,MATCH(J$97,$A$74:$A$81,0))&amp;"-")),1,0)</f>
        <v>1</v>
      </c>
      <c r="K101" s="21" t="n">
        <f aca="false">IF(ISNUMBER(SEARCH("-"&amp;$A101&amp;"-","-"&amp;INDEX($H$74:$H$81,MATCH(K$97,$A$74:$A$81,0))&amp;"-")),1,0)</f>
        <v>1</v>
      </c>
      <c r="L101" s="21" t="n">
        <f aca="false">IF(ISNUMBER(SEARCH("-"&amp;$A101&amp;"-","-"&amp;INDEX($H$74:$H$81,MATCH(L$97,$A$74:$A$81,0))&amp;"-")),1,0)</f>
        <v>1</v>
      </c>
      <c r="M101" s="6" t="n">
        <f aca="false">SUM(E101:L101)</f>
        <v>5</v>
      </c>
      <c r="N101" s="6" t="str">
        <f aca="false">IF(M101&gt;0,"Covered","NOT covered")</f>
        <v>Covered</v>
      </c>
    </row>
    <row r="102" customFormat="false" ht="15" hidden="false" customHeight="true" outlineLevel="0" collapsed="false">
      <c r="A102" s="6" t="n">
        <f aca="false">A40</f>
        <v>5</v>
      </c>
      <c r="B102" s="6" t="str">
        <f aca="false">C40</f>
        <v>Decision</v>
      </c>
      <c r="C102" s="22"/>
      <c r="D102" s="22"/>
      <c r="E102" s="21" t="n">
        <f aca="false">IF(ISNUMBER(SEARCH("-"&amp;$A102&amp;"-","-"&amp;INDEX($H$74:$H$81,MATCH(E$97,$A$74:$A$81,0))&amp;"-")),1,0)</f>
        <v>0</v>
      </c>
      <c r="F102" s="21" t="n">
        <f aca="false">IF(ISNUMBER(SEARCH("-"&amp;$A102&amp;"-","-"&amp;INDEX($H$74:$H$81,MATCH(F$97,$A$74:$A$81,0))&amp;"-")),1,0)</f>
        <v>0</v>
      </c>
      <c r="G102" s="21" t="n">
        <f aca="false">IF(ISNUMBER(SEARCH("-"&amp;$A102&amp;"-","-"&amp;INDEX($H$74:$H$81,MATCH(G$97,$A$74:$A$81,0))&amp;"-")),1,0)</f>
        <v>1</v>
      </c>
      <c r="H102" s="21" t="n">
        <f aca="false">IF(ISNUMBER(SEARCH("-"&amp;$A102&amp;"-","-"&amp;INDEX($H$74:$H$81,MATCH(H$97,$A$74:$A$81,0))&amp;"-")),1,0)</f>
        <v>1</v>
      </c>
      <c r="I102" s="21" t="n">
        <f aca="false">IF(ISNUMBER(SEARCH("-"&amp;$A102&amp;"-","-"&amp;INDEX($H$74:$H$81,MATCH(I$97,$A$74:$A$81,0))&amp;"-")),1,0)</f>
        <v>1</v>
      </c>
      <c r="J102" s="21" t="n">
        <f aca="false">IF(ISNUMBER(SEARCH("-"&amp;$A102&amp;"-","-"&amp;INDEX($H$74:$H$81,MATCH(J$97,$A$74:$A$81,0))&amp;"-")),1,0)</f>
        <v>0</v>
      </c>
      <c r="K102" s="21" t="n">
        <f aca="false">IF(ISNUMBER(SEARCH("-"&amp;$A102&amp;"-","-"&amp;INDEX($H$74:$H$81,MATCH(K$97,$A$74:$A$81,0))&amp;"-")),1,0)</f>
        <v>1</v>
      </c>
      <c r="L102" s="21" t="n">
        <f aca="false">IF(ISNUMBER(SEARCH("-"&amp;$A102&amp;"-","-"&amp;INDEX($H$74:$H$81,MATCH(L$97,$A$74:$A$81,0))&amp;"-")),1,0)</f>
        <v>1</v>
      </c>
      <c r="M102" s="6" t="n">
        <f aca="false">SUM(E102:L102)</f>
        <v>5</v>
      </c>
      <c r="N102" s="6" t="str">
        <f aca="false">IF(M102&gt;0,"Covered","NOT covered")</f>
        <v>Covered</v>
      </c>
    </row>
    <row r="103" customFormat="false" ht="15" hidden="false" customHeight="true" outlineLevel="0" collapsed="false">
      <c r="A103" s="6" t="n">
        <f aca="false">A41</f>
        <v>6</v>
      </c>
      <c r="B103" s="6" t="str">
        <f aca="false">C41</f>
        <v>Process</v>
      </c>
      <c r="C103" s="22"/>
      <c r="D103" s="22"/>
      <c r="E103" s="21" t="n">
        <f aca="false">IF(ISNUMBER(SEARCH("-"&amp;$A103&amp;"-","-"&amp;INDEX($H$74:$H$81,MATCH(E$97,$A$74:$A$81,0))&amp;"-")),1,0)</f>
        <v>0</v>
      </c>
      <c r="F103" s="21" t="n">
        <f aca="false">IF(ISNUMBER(SEARCH("-"&amp;$A103&amp;"-","-"&amp;INDEX($H$74:$H$81,MATCH(F$97,$A$74:$A$81,0))&amp;"-")),1,0)</f>
        <v>0</v>
      </c>
      <c r="G103" s="21" t="n">
        <f aca="false">IF(ISNUMBER(SEARCH("-"&amp;$A103&amp;"-","-"&amp;INDEX($H$74:$H$81,MATCH(G$97,$A$74:$A$81,0))&amp;"-")),1,0)</f>
        <v>0</v>
      </c>
      <c r="H103" s="21" t="n">
        <f aca="false">IF(ISNUMBER(SEARCH("-"&amp;$A103&amp;"-","-"&amp;INDEX($H$74:$H$81,MATCH(H$97,$A$74:$A$81,0))&amp;"-")),1,0)</f>
        <v>1</v>
      </c>
      <c r="I103" s="21" t="n">
        <f aca="false">IF(ISNUMBER(SEARCH("-"&amp;$A103&amp;"-","-"&amp;INDEX($H$74:$H$81,MATCH(I$97,$A$74:$A$81,0))&amp;"-")),1,0)</f>
        <v>1</v>
      </c>
      <c r="J103" s="21" t="n">
        <f aca="false">IF(ISNUMBER(SEARCH("-"&amp;$A103&amp;"-","-"&amp;INDEX($H$74:$H$81,MATCH(J$97,$A$74:$A$81,0))&amp;"-")),1,0)</f>
        <v>0</v>
      </c>
      <c r="K103" s="21" t="n">
        <f aca="false">IF(ISNUMBER(SEARCH("-"&amp;$A103&amp;"-","-"&amp;INDEX($H$74:$H$81,MATCH(K$97,$A$74:$A$81,0))&amp;"-")),1,0)</f>
        <v>1</v>
      </c>
      <c r="L103" s="21" t="n">
        <f aca="false">IF(ISNUMBER(SEARCH("-"&amp;$A103&amp;"-","-"&amp;INDEX($H$74:$H$81,MATCH(L$97,$A$74:$A$81,0))&amp;"-")),1,0)</f>
        <v>0</v>
      </c>
      <c r="M103" s="6" t="n">
        <f aca="false">SUM(E103:L103)</f>
        <v>3</v>
      </c>
      <c r="N103" s="6" t="str">
        <f aca="false">IF(M103&gt;0,"Covered","NOT covered")</f>
        <v>Covered</v>
      </c>
    </row>
    <row r="104" customFormat="false" ht="15" hidden="false" customHeight="true" outlineLevel="0" collapsed="false">
      <c r="A104" s="6" t="n">
        <f aca="false">A42</f>
        <v>7</v>
      </c>
      <c r="B104" s="6" t="str">
        <f aca="false">C42</f>
        <v>Process</v>
      </c>
      <c r="C104" s="22"/>
      <c r="D104" s="22"/>
      <c r="E104" s="21" t="n">
        <f aca="false">IF(ISNUMBER(SEARCH("-"&amp;$A104&amp;"-","-"&amp;INDEX($H$74:$H$81,MATCH(E$97,$A$74:$A$81,0))&amp;"-")),1,0)</f>
        <v>1</v>
      </c>
      <c r="F104" s="21" t="n">
        <f aca="false">IF(ISNUMBER(SEARCH("-"&amp;$A104&amp;"-","-"&amp;INDEX($H$74:$H$81,MATCH(F$97,$A$74:$A$81,0))&amp;"-")),1,0)</f>
        <v>0</v>
      </c>
      <c r="G104" s="21" t="n">
        <f aca="false">IF(ISNUMBER(SEARCH("-"&amp;$A104&amp;"-","-"&amp;INDEX($H$74:$H$81,MATCH(G$97,$A$74:$A$81,0))&amp;"-")),1,0)</f>
        <v>1</v>
      </c>
      <c r="H104" s="21" t="n">
        <f aca="false">IF(ISNUMBER(SEARCH("-"&amp;$A104&amp;"-","-"&amp;INDEX($H$74:$H$81,MATCH(H$97,$A$74:$A$81,0))&amp;"-")),1,0)</f>
        <v>1</v>
      </c>
      <c r="I104" s="21" t="n">
        <f aca="false">IF(ISNUMBER(SEARCH("-"&amp;$A104&amp;"-","-"&amp;INDEX($H$74:$H$81,MATCH(I$97,$A$74:$A$81,0))&amp;"-")),1,0)</f>
        <v>1</v>
      </c>
      <c r="J104" s="21" t="n">
        <f aca="false">IF(ISNUMBER(SEARCH("-"&amp;$A104&amp;"-","-"&amp;INDEX($H$74:$H$81,MATCH(J$97,$A$74:$A$81,0))&amp;"-")),1,0)</f>
        <v>1</v>
      </c>
      <c r="K104" s="21" t="n">
        <f aca="false">IF(ISNUMBER(SEARCH("-"&amp;$A104&amp;"-","-"&amp;INDEX($H$74:$H$81,MATCH(K$97,$A$74:$A$81,0))&amp;"-")),1,0)</f>
        <v>1</v>
      </c>
      <c r="L104" s="21" t="n">
        <f aca="false">IF(ISNUMBER(SEARCH("-"&amp;$A104&amp;"-","-"&amp;INDEX($H$74:$H$81,MATCH(L$97,$A$74:$A$81,0))&amp;"-")),1,0)</f>
        <v>1</v>
      </c>
      <c r="M104" s="6" t="n">
        <f aca="false">SUM(E104:L104)</f>
        <v>7</v>
      </c>
      <c r="N104" s="6" t="str">
        <f aca="false">IF(M104&gt;0,"Covered","NOT covered")</f>
        <v>Covered</v>
      </c>
    </row>
    <row r="105" customFormat="false" ht="15" hidden="false" customHeight="true" outlineLevel="0" collapsed="false">
      <c r="A105" s="6" t="n">
        <f aca="false">A43</f>
        <v>8</v>
      </c>
      <c r="B105" s="6" t="str">
        <f aca="false">C43</f>
        <v>Process</v>
      </c>
      <c r="C105" s="22"/>
      <c r="D105" s="22"/>
      <c r="E105" s="21" t="n">
        <f aca="false">IF(ISNUMBER(SEARCH("-"&amp;$A105&amp;"-","-"&amp;INDEX($H$74:$H$81,MATCH(E$97,$A$74:$A$81,0))&amp;"-")),1,0)</f>
        <v>1</v>
      </c>
      <c r="F105" s="21" t="n">
        <f aca="false">IF(ISNUMBER(SEARCH("-"&amp;$A105&amp;"-","-"&amp;INDEX($H$74:$H$81,MATCH(F$97,$A$74:$A$81,0))&amp;"-")),1,0)</f>
        <v>1</v>
      </c>
      <c r="G105" s="21" t="n">
        <f aca="false">IF(ISNUMBER(SEARCH("-"&amp;$A105&amp;"-","-"&amp;INDEX($H$74:$H$81,MATCH(G$97,$A$74:$A$81,0))&amp;"-")),1,0)</f>
        <v>1</v>
      </c>
      <c r="H105" s="21" t="n">
        <f aca="false">IF(ISNUMBER(SEARCH("-"&amp;$A105&amp;"-","-"&amp;INDEX($H$74:$H$81,MATCH(H$97,$A$74:$A$81,0))&amp;"-")),1,0)</f>
        <v>1</v>
      </c>
      <c r="I105" s="21" t="n">
        <f aca="false">IF(ISNUMBER(SEARCH("-"&amp;$A105&amp;"-","-"&amp;INDEX($H$74:$H$81,MATCH(I$97,$A$74:$A$81,0))&amp;"-")),1,0)</f>
        <v>1</v>
      </c>
      <c r="J105" s="21" t="n">
        <f aca="false">IF(ISNUMBER(SEARCH("-"&amp;$A105&amp;"-","-"&amp;INDEX($H$74:$H$81,MATCH(J$97,$A$74:$A$81,0))&amp;"-")),1,0)</f>
        <v>1</v>
      </c>
      <c r="K105" s="21" t="n">
        <f aca="false">IF(ISNUMBER(SEARCH("-"&amp;$A105&amp;"-","-"&amp;INDEX($H$74:$H$81,MATCH(K$97,$A$74:$A$81,0))&amp;"-")),1,0)</f>
        <v>1</v>
      </c>
      <c r="L105" s="21" t="n">
        <f aca="false">IF(ISNUMBER(SEARCH("-"&amp;$A105&amp;"-","-"&amp;INDEX($H$74:$H$81,MATCH(L$97,$A$74:$A$81,0))&amp;"-")),1,0)</f>
        <v>1</v>
      </c>
      <c r="M105" s="6" t="n">
        <f aca="false">SUM(E105:L105)</f>
        <v>8</v>
      </c>
      <c r="N105" s="6" t="str">
        <f aca="false">IF(M105&gt;0,"Covered","NOT covered")</f>
        <v>Covered</v>
      </c>
    </row>
    <row r="106" customFormat="false" ht="15" hidden="false" customHeight="true" outlineLevel="0" collapsed="false">
      <c r="A106" s="6" t="n">
        <f aca="false">A44</f>
        <v>9</v>
      </c>
      <c r="B106" s="6" t="str">
        <f aca="false">C44</f>
        <v>Exit</v>
      </c>
      <c r="C106" s="22"/>
      <c r="D106" s="22"/>
      <c r="E106" s="21" t="n">
        <f aca="false">IF(ISNUMBER(SEARCH("-"&amp;$A106&amp;"-","-"&amp;INDEX($H$74:$H$81,MATCH(E$97,$A$74:$A$81,0))&amp;"-")),1,0)</f>
        <v>1</v>
      </c>
      <c r="F106" s="21" t="n">
        <f aca="false">IF(ISNUMBER(SEARCH("-"&amp;$A106&amp;"-","-"&amp;INDEX($H$74:$H$81,MATCH(F$97,$A$74:$A$81,0))&amp;"-")),1,0)</f>
        <v>1</v>
      </c>
      <c r="G106" s="21" t="n">
        <f aca="false">IF(ISNUMBER(SEARCH("-"&amp;$A106&amp;"-","-"&amp;INDEX($H$74:$H$81,MATCH(G$97,$A$74:$A$81,0))&amp;"-")),1,0)</f>
        <v>1</v>
      </c>
      <c r="H106" s="21" t="n">
        <f aca="false">IF(ISNUMBER(SEARCH("-"&amp;$A106&amp;"-","-"&amp;INDEX($H$74:$H$81,MATCH(H$97,$A$74:$A$81,0))&amp;"-")),1,0)</f>
        <v>1</v>
      </c>
      <c r="I106" s="21" t="n">
        <f aca="false">IF(ISNUMBER(SEARCH("-"&amp;$A106&amp;"-","-"&amp;INDEX($H$74:$H$81,MATCH(I$97,$A$74:$A$81,0))&amp;"-")),1,0)</f>
        <v>1</v>
      </c>
      <c r="J106" s="21" t="n">
        <f aca="false">IF(ISNUMBER(SEARCH("-"&amp;$A106&amp;"-","-"&amp;INDEX($H$74:$H$81,MATCH(J$97,$A$74:$A$81,0))&amp;"-")),1,0)</f>
        <v>1</v>
      </c>
      <c r="K106" s="21" t="n">
        <f aca="false">IF(ISNUMBER(SEARCH("-"&amp;$A106&amp;"-","-"&amp;INDEX($H$74:$H$81,MATCH(K$97,$A$74:$A$81,0))&amp;"-")),1,0)</f>
        <v>1</v>
      </c>
      <c r="L106" s="21" t="n">
        <f aca="false">IF(ISNUMBER(SEARCH("-"&amp;$A106&amp;"-","-"&amp;INDEX($H$74:$H$81,MATCH(L$97,$A$74:$A$81,0))&amp;"-")),1,0)</f>
        <v>1</v>
      </c>
      <c r="M106" s="6" t="n">
        <f aca="false">SUM(E106:L106)</f>
        <v>8</v>
      </c>
      <c r="N106" s="6" t="str">
        <f aca="false">IF(M106&gt;0,"Covered","NOT covered")</f>
        <v>Covered</v>
      </c>
    </row>
    <row r="108" customFormat="false" ht="15" hidden="false" customHeight="true" outlineLevel="0" collapsed="false">
      <c r="A108" s="3" t="s">
        <v>194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customFormat="false" ht="15" hidden="false" customHeight="true" outlineLevel="0" collapsed="false">
      <c r="A109" s="7" t="s">
        <v>195</v>
      </c>
      <c r="B109" s="7"/>
      <c r="C109" s="7"/>
      <c r="D109" s="23" t="n">
        <f aca="false">COUNTIF(N98:N106,"Covered")/COUNTA(A98:A106)</f>
        <v>1</v>
      </c>
    </row>
    <row r="110" customFormat="false" ht="15" hidden="false" customHeight="true" outlineLevel="0" collapsed="false">
      <c r="A110" s="7" t="s">
        <v>196</v>
      </c>
      <c r="B110" s="7"/>
      <c r="C110" s="7"/>
      <c r="D110" s="23" t="n">
        <f aca="false">(COUNTIFS(D85:D95,"T",N85:N95,"Covered")+COUNTIFS(D85:D95,"F",N85:N95,"Covered"))/(COUNTIF(D85:D95,"T")+COUNTIF(D85:D95,"F"))</f>
        <v>1</v>
      </c>
    </row>
    <row r="111" customFormat="false" ht="15" hidden="false" customHeight="true" outlineLevel="0" collapsed="false">
      <c r="A111" s="7" t="s">
        <v>197</v>
      </c>
      <c r="B111" s="7"/>
      <c r="C111" s="7"/>
      <c r="D111" s="23" t="n">
        <f aca="false">COUNTIF(N85:N95,"Covered")/COUNTA(A85:A95)</f>
        <v>1</v>
      </c>
    </row>
    <row r="112" customFormat="false" ht="15" hidden="false" customHeight="true" outlineLevel="0" collapsed="false">
      <c r="A112" s="7" t="s">
        <v>198</v>
      </c>
      <c r="B112" s="7"/>
      <c r="C112" s="7"/>
      <c r="D112" s="11" t="str">
        <f aca="false">COUNTIF(G74:G81,"Pass")&amp;" / "&amp;COUNTA(A74:A81)</f>
        <v>8 / 8</v>
      </c>
    </row>
  </sheetData>
  <mergeCells count="48">
    <mergeCell ref="A4:E4"/>
    <mergeCell ref="A5:E5"/>
    <mergeCell ref="A6:E6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E60:J60"/>
    <mergeCell ref="K60:N60"/>
    <mergeCell ref="E61:J61"/>
    <mergeCell ref="K61:N61"/>
    <mergeCell ref="E62:J62"/>
    <mergeCell ref="K62:N62"/>
    <mergeCell ref="E63:J63"/>
    <mergeCell ref="K63:N63"/>
    <mergeCell ref="E64:J64"/>
    <mergeCell ref="K64:N64"/>
    <mergeCell ref="E65:J65"/>
    <mergeCell ref="K65:N65"/>
    <mergeCell ref="E66:J66"/>
    <mergeCell ref="K66:N66"/>
    <mergeCell ref="E67:J67"/>
    <mergeCell ref="K67:N67"/>
    <mergeCell ref="E68:J68"/>
    <mergeCell ref="K68:N68"/>
    <mergeCell ref="A69:C69"/>
    <mergeCell ref="A70:C70"/>
    <mergeCell ref="H73:L73"/>
    <mergeCell ref="H74:L74"/>
    <mergeCell ref="H75:L75"/>
    <mergeCell ref="H76:L76"/>
    <mergeCell ref="H77:L77"/>
    <mergeCell ref="H78:L78"/>
    <mergeCell ref="H79:L79"/>
    <mergeCell ref="H80:L80"/>
    <mergeCell ref="H81:L81"/>
    <mergeCell ref="A109:C109"/>
    <mergeCell ref="A110:C110"/>
    <mergeCell ref="A111:C111"/>
    <mergeCell ref="A112:C112"/>
  </mergeCells>
  <conditionalFormatting sqref="G74:G8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E85:L95">
    <cfRule type="cellIs" priority="4" operator="equal" aboveAverage="0" equalAverage="0" bottom="0" percent="0" rank="0" text="" dxfId="0">
      <formula>1</formula>
    </cfRule>
  </conditionalFormatting>
  <conditionalFormatting sqref="E98:L106">
    <cfRule type="cellIs" priority="5" operator="equal" aboveAverage="0" equalAverage="0" bottom="0" percent="0" rank="0" text="" dxfId="0">
      <formula>1</formula>
    </cfRule>
  </conditionalFormatting>
  <conditionalFormatting sqref="N85:N95">
    <cfRule type="cellIs" priority="6" operator="equal" aboveAverage="0" equalAverage="0" bottom="0" percent="0" rank="0" text="" dxfId="1">
      <formula>"NOT covered"</formula>
    </cfRule>
  </conditionalFormatting>
  <conditionalFormatting sqref="N98:N106">
    <cfRule type="cellIs" priority="7" operator="equal" aboveAverage="0" equalAverage="0" bottom="0" percent="0" rank="0" text="" dxfId="1">
      <formula>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15" min="15" style="0" width="13"/>
  </cols>
  <sheetData>
    <row r="1" customFormat="false" ht="18" hidden="false" customHeight="tru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30" hidden="false" customHeight="true" outlineLevel="0" collapsed="false">
      <c r="A4" s="12" t="s">
        <v>330</v>
      </c>
      <c r="B4" s="12"/>
      <c r="C4" s="12"/>
      <c r="D4" s="12"/>
      <c r="E4" s="12"/>
    </row>
    <row r="5" customFormat="false" ht="30" hidden="false" customHeight="true" outlineLevel="0" collapsed="false">
      <c r="A5" s="12" t="s">
        <v>331</v>
      </c>
      <c r="B5" s="12"/>
      <c r="C5" s="12"/>
      <c r="D5" s="12"/>
      <c r="E5" s="12"/>
    </row>
    <row r="6" customFormat="false" ht="30" hidden="false" customHeight="true" outlineLevel="0" collapsed="false">
      <c r="A6" s="12" t="s">
        <v>332</v>
      </c>
      <c r="B6" s="12"/>
      <c r="C6" s="12"/>
      <c r="D6" s="12"/>
      <c r="E6" s="12"/>
    </row>
    <row r="8" customFormat="false" ht="15" hidden="false" customHeight="true" outlineLevel="0" collapsed="false">
      <c r="A8" s="3" t="s">
        <v>51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5" t="s">
        <v>52</v>
      </c>
      <c r="B9" s="5" t="s">
        <v>53</v>
      </c>
      <c r="C9" s="5" t="s">
        <v>54</v>
      </c>
    </row>
    <row r="10" customFormat="false" ht="15" hidden="false" customHeight="true" outlineLevel="0" collapsed="false">
      <c r="A10" s="6" t="n">
        <v>1</v>
      </c>
      <c r="B10" s="13" t="s">
        <v>333</v>
      </c>
      <c r="C10" s="6" t="s">
        <v>56</v>
      </c>
    </row>
    <row r="11" customFormat="false" ht="15" hidden="false" customHeight="true" outlineLevel="0" collapsed="false">
      <c r="A11" s="6" t="n">
        <v>2</v>
      </c>
      <c r="B11" s="13" t="s">
        <v>334</v>
      </c>
      <c r="C11" s="6" t="s">
        <v>58</v>
      </c>
    </row>
    <row r="12" customFormat="false" ht="15" hidden="false" customHeight="true" outlineLevel="0" collapsed="false">
      <c r="A12" s="6" t="n">
        <v>3</v>
      </c>
      <c r="B12" s="13" t="s">
        <v>335</v>
      </c>
      <c r="C12" s="6" t="s">
        <v>60</v>
      </c>
    </row>
    <row r="13" customFormat="false" ht="15" hidden="false" customHeight="true" outlineLevel="0" collapsed="false">
      <c r="A13" s="6" t="n">
        <v>4</v>
      </c>
      <c r="B13" s="13" t="s">
        <v>205</v>
      </c>
      <c r="C13" s="6" t="s">
        <v>62</v>
      </c>
    </row>
    <row r="14" customFormat="false" ht="15" hidden="false" customHeight="true" outlineLevel="0" collapsed="false">
      <c r="A14" s="6" t="n">
        <v>5</v>
      </c>
      <c r="B14" s="13" t="s">
        <v>336</v>
      </c>
      <c r="C14" s="6" t="s">
        <v>64</v>
      </c>
    </row>
    <row r="15" customFormat="false" ht="15" hidden="false" customHeight="true" outlineLevel="0" collapsed="false">
      <c r="A15" s="6" t="n">
        <v>6</v>
      </c>
      <c r="B15" s="13" t="s">
        <v>337</v>
      </c>
      <c r="C15" s="6" t="s">
        <v>66</v>
      </c>
    </row>
    <row r="16" customFormat="false" ht="15" hidden="false" customHeight="true" outlineLevel="0" collapsed="false">
      <c r="A16" s="6" t="n">
        <v>7</v>
      </c>
      <c r="B16" s="13" t="s">
        <v>338</v>
      </c>
      <c r="C16" s="6" t="s">
        <v>68</v>
      </c>
    </row>
    <row r="17" customFormat="false" ht="15" hidden="false" customHeight="true" outlineLevel="0" collapsed="false">
      <c r="A17" s="6" t="n">
        <v>8</v>
      </c>
      <c r="B17" s="13" t="s">
        <v>339</v>
      </c>
      <c r="C17" s="6" t="s">
        <v>70</v>
      </c>
    </row>
    <row r="18" customFormat="false" ht="15" hidden="false" customHeight="true" outlineLevel="0" collapsed="false">
      <c r="A18" s="6" t="n">
        <v>9</v>
      </c>
      <c r="B18" s="13" t="s">
        <v>340</v>
      </c>
      <c r="C18" s="6" t="s">
        <v>269</v>
      </c>
    </row>
    <row r="19" customFormat="false" ht="15" hidden="false" customHeight="true" outlineLevel="0" collapsed="false">
      <c r="A19" s="6" t="n">
        <v>10</v>
      </c>
      <c r="B19" s="13" t="s">
        <v>341</v>
      </c>
      <c r="C19" s="6" t="s">
        <v>342</v>
      </c>
    </row>
    <row r="34" customFormat="false" ht="15" hidden="false" customHeight="true" outlineLevel="0" collapsed="false">
      <c r="A34" s="3" t="s">
        <v>71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true" outlineLevel="0" collapsed="false">
      <c r="A35" s="5" t="s">
        <v>54</v>
      </c>
      <c r="B35" s="5" t="s">
        <v>72</v>
      </c>
      <c r="C35" s="5" t="s">
        <v>73</v>
      </c>
      <c r="D35" s="5" t="s">
        <v>74</v>
      </c>
      <c r="E35" s="5" t="s">
        <v>75</v>
      </c>
      <c r="G35" s="5" t="s">
        <v>76</v>
      </c>
      <c r="H35" s="5" t="s">
        <v>77</v>
      </c>
      <c r="I35" s="5" t="s">
        <v>78</v>
      </c>
      <c r="J35" s="5" t="s">
        <v>79</v>
      </c>
      <c r="K35" s="5" t="s">
        <v>80</v>
      </c>
      <c r="L35" s="5"/>
      <c r="M35" s="5"/>
      <c r="N35" s="5"/>
    </row>
    <row r="36" customFormat="false" ht="15" hidden="false" customHeight="true" outlineLevel="0" collapsed="false">
      <c r="A36" s="14" t="n">
        <v>1</v>
      </c>
      <c r="B36" s="15" t="s">
        <v>343</v>
      </c>
      <c r="C36" s="14" t="s">
        <v>82</v>
      </c>
      <c r="D36" s="14" t="n">
        <f aca="false">COUNTIF($H$36:$H$48,A36)</f>
        <v>2</v>
      </c>
      <c r="E36" s="14" t="n">
        <f aca="false">COUNTIF($I$36:$I$48,A36)</f>
        <v>0</v>
      </c>
      <c r="G36" s="6" t="s">
        <v>83</v>
      </c>
      <c r="H36" s="6" t="n">
        <v>1</v>
      </c>
      <c r="I36" s="6" t="n">
        <v>2</v>
      </c>
      <c r="J36" s="6" t="s">
        <v>84</v>
      </c>
      <c r="K36" s="8" t="s">
        <v>344</v>
      </c>
      <c r="L36" s="8"/>
      <c r="M36" s="8"/>
      <c r="N36" s="8"/>
    </row>
    <row r="37" customFormat="false" ht="15" hidden="false" customHeight="true" outlineLevel="0" collapsed="false">
      <c r="A37" s="6" t="n">
        <v>2</v>
      </c>
      <c r="B37" s="8" t="s">
        <v>345</v>
      </c>
      <c r="C37" s="6" t="s">
        <v>87</v>
      </c>
      <c r="D37" s="6" t="n">
        <f aca="false">COUNTIF($H$36:$H$48,A37)</f>
        <v>1</v>
      </c>
      <c r="E37" s="6" t="n">
        <f aca="false">COUNTIF($I$36:$I$48,A37)</f>
        <v>1</v>
      </c>
      <c r="G37" s="6" t="s">
        <v>88</v>
      </c>
      <c r="H37" s="6" t="n">
        <v>1</v>
      </c>
      <c r="I37" s="6" t="n">
        <v>3</v>
      </c>
      <c r="J37" s="6" t="s">
        <v>89</v>
      </c>
      <c r="K37" s="8" t="s">
        <v>346</v>
      </c>
      <c r="L37" s="8"/>
      <c r="M37" s="8"/>
      <c r="N37" s="8"/>
    </row>
    <row r="38" customFormat="false" ht="15" hidden="false" customHeight="true" outlineLevel="0" collapsed="false">
      <c r="A38" s="14" t="n">
        <v>3</v>
      </c>
      <c r="B38" s="15" t="s">
        <v>212</v>
      </c>
      <c r="C38" s="14" t="s">
        <v>82</v>
      </c>
      <c r="D38" s="14" t="n">
        <f aca="false">COUNTIF($H$36:$H$48,A38)</f>
        <v>2</v>
      </c>
      <c r="E38" s="14" t="n">
        <f aca="false">COUNTIF($I$36:$I$48,A38)</f>
        <v>1</v>
      </c>
      <c r="G38" s="6" t="s">
        <v>92</v>
      </c>
      <c r="H38" s="6" t="n">
        <v>3</v>
      </c>
      <c r="I38" s="6" t="n">
        <v>4</v>
      </c>
      <c r="J38" s="6" t="s">
        <v>84</v>
      </c>
      <c r="K38" s="8" t="s">
        <v>347</v>
      </c>
      <c r="L38" s="8"/>
      <c r="M38" s="8"/>
      <c r="N38" s="8"/>
    </row>
    <row r="39" customFormat="false" ht="15" hidden="false" customHeight="true" outlineLevel="0" collapsed="false">
      <c r="A39" s="6" t="n">
        <v>4</v>
      </c>
      <c r="B39" s="8" t="s">
        <v>348</v>
      </c>
      <c r="C39" s="6" t="s">
        <v>87</v>
      </c>
      <c r="D39" s="6" t="n">
        <f aca="false">COUNTIF($H$36:$H$48,A39)</f>
        <v>1</v>
      </c>
      <c r="E39" s="6" t="n">
        <f aca="false">COUNTIF($I$36:$I$48,A39)</f>
        <v>1</v>
      </c>
      <c r="G39" s="6" t="s">
        <v>95</v>
      </c>
      <c r="H39" s="6" t="n">
        <v>3</v>
      </c>
      <c r="I39" s="6" t="n">
        <v>5</v>
      </c>
      <c r="J39" s="6" t="s">
        <v>89</v>
      </c>
      <c r="K39" s="8" t="s">
        <v>215</v>
      </c>
      <c r="L39" s="8"/>
      <c r="M39" s="8"/>
      <c r="N39" s="8"/>
    </row>
    <row r="40" customFormat="false" ht="15" hidden="false" customHeight="true" outlineLevel="0" collapsed="false">
      <c r="A40" s="14" t="n">
        <v>5</v>
      </c>
      <c r="B40" s="15" t="s">
        <v>349</v>
      </c>
      <c r="C40" s="14" t="s">
        <v>82</v>
      </c>
      <c r="D40" s="14" t="n">
        <f aca="false">COUNTIF($H$36:$H$48,A40)</f>
        <v>2</v>
      </c>
      <c r="E40" s="14" t="n">
        <f aca="false">COUNTIF($I$36:$I$48,A40)</f>
        <v>1</v>
      </c>
      <c r="G40" s="6" t="s">
        <v>98</v>
      </c>
      <c r="H40" s="6" t="n">
        <v>5</v>
      </c>
      <c r="I40" s="6" t="n">
        <v>6</v>
      </c>
      <c r="J40" s="6" t="s">
        <v>84</v>
      </c>
      <c r="K40" s="8" t="s">
        <v>350</v>
      </c>
      <c r="L40" s="8"/>
      <c r="M40" s="8"/>
      <c r="N40" s="8"/>
    </row>
    <row r="41" customFormat="false" ht="15" hidden="false" customHeight="true" outlineLevel="0" collapsed="false">
      <c r="A41" s="6" t="n">
        <v>6</v>
      </c>
      <c r="B41" s="8" t="s">
        <v>351</v>
      </c>
      <c r="C41" s="6" t="s">
        <v>87</v>
      </c>
      <c r="D41" s="6" t="n">
        <f aca="false">COUNTIF($H$36:$H$48,A41)</f>
        <v>1</v>
      </c>
      <c r="E41" s="6" t="n">
        <f aca="false">COUNTIF($I$36:$I$48,A41)</f>
        <v>1</v>
      </c>
      <c r="G41" s="6" t="s">
        <v>101</v>
      </c>
      <c r="H41" s="6" t="n">
        <v>5</v>
      </c>
      <c r="I41" s="6" t="n">
        <v>7</v>
      </c>
      <c r="J41" s="6" t="s">
        <v>89</v>
      </c>
      <c r="K41" s="8" t="s">
        <v>352</v>
      </c>
      <c r="L41" s="8"/>
      <c r="M41" s="8"/>
      <c r="N41" s="8"/>
    </row>
    <row r="42" customFormat="false" ht="15" hidden="false" customHeight="true" outlineLevel="0" collapsed="false">
      <c r="A42" s="14" t="n">
        <v>7</v>
      </c>
      <c r="B42" s="15" t="s">
        <v>353</v>
      </c>
      <c r="C42" s="14" t="s">
        <v>82</v>
      </c>
      <c r="D42" s="14" t="n">
        <f aca="false">COUNTIF($H$36:$H$48,A42)</f>
        <v>2</v>
      </c>
      <c r="E42" s="14" t="n">
        <f aca="false">COUNTIF($I$36:$I$48,A42)</f>
        <v>1</v>
      </c>
      <c r="G42" s="6" t="s">
        <v>104</v>
      </c>
      <c r="H42" s="6" t="n">
        <v>7</v>
      </c>
      <c r="I42" s="6" t="n">
        <v>8</v>
      </c>
      <c r="J42" s="6" t="s">
        <v>84</v>
      </c>
      <c r="K42" s="8" t="s">
        <v>354</v>
      </c>
      <c r="L42" s="8"/>
      <c r="M42" s="8"/>
      <c r="N42" s="8"/>
    </row>
    <row r="43" customFormat="false" ht="15" hidden="false" customHeight="true" outlineLevel="0" collapsed="false">
      <c r="A43" s="6" t="n">
        <v>8</v>
      </c>
      <c r="B43" s="8" t="s">
        <v>355</v>
      </c>
      <c r="C43" s="6" t="s">
        <v>87</v>
      </c>
      <c r="D43" s="6" t="n">
        <f aca="false">COUNTIF($H$36:$H$48,A43)</f>
        <v>1</v>
      </c>
      <c r="E43" s="6" t="n">
        <f aca="false">COUNTIF($I$36:$I$48,A43)</f>
        <v>1</v>
      </c>
      <c r="G43" s="6" t="s">
        <v>108</v>
      </c>
      <c r="H43" s="6" t="n">
        <v>7</v>
      </c>
      <c r="I43" s="6" t="n">
        <v>9</v>
      </c>
      <c r="J43" s="6" t="s">
        <v>89</v>
      </c>
      <c r="K43" s="8" t="s">
        <v>356</v>
      </c>
      <c r="L43" s="8"/>
      <c r="M43" s="8"/>
      <c r="N43" s="8"/>
    </row>
    <row r="44" customFormat="false" ht="15" hidden="false" customHeight="true" outlineLevel="0" collapsed="false">
      <c r="A44" s="6" t="n">
        <v>9</v>
      </c>
      <c r="B44" s="8" t="s">
        <v>357</v>
      </c>
      <c r="C44" s="6" t="s">
        <v>87</v>
      </c>
      <c r="D44" s="6" t="n">
        <f aca="false">COUNTIF($H$36:$H$48,A44)</f>
        <v>1</v>
      </c>
      <c r="E44" s="6" t="n">
        <f aca="false">COUNTIF($I$36:$I$48,A44)</f>
        <v>1</v>
      </c>
      <c r="G44" s="6" t="s">
        <v>110</v>
      </c>
      <c r="H44" s="6" t="n">
        <v>2</v>
      </c>
      <c r="I44" s="6" t="n">
        <v>10</v>
      </c>
      <c r="J44" s="6" t="s">
        <v>56</v>
      </c>
      <c r="K44" s="8" t="s">
        <v>106</v>
      </c>
      <c r="L44" s="8"/>
      <c r="M44" s="8"/>
      <c r="N44" s="8"/>
    </row>
    <row r="45" customFormat="false" ht="15" hidden="false" customHeight="true" outlineLevel="0" collapsed="false">
      <c r="A45" s="6" t="n">
        <v>10</v>
      </c>
      <c r="B45" s="8" t="s">
        <v>106</v>
      </c>
      <c r="C45" s="6" t="s">
        <v>107</v>
      </c>
      <c r="D45" s="6" t="n">
        <f aca="false">COUNTIF($H$36:$H$48,A45)</f>
        <v>0</v>
      </c>
      <c r="E45" s="6" t="n">
        <f aca="false">COUNTIF($I$36:$I$48,A45)</f>
        <v>5</v>
      </c>
      <c r="G45" s="6" t="s">
        <v>111</v>
      </c>
      <c r="H45" s="6" t="n">
        <v>4</v>
      </c>
      <c r="I45" s="6" t="n">
        <v>10</v>
      </c>
      <c r="J45" s="6" t="s">
        <v>56</v>
      </c>
      <c r="K45" s="8" t="s">
        <v>106</v>
      </c>
      <c r="L45" s="8"/>
      <c r="M45" s="8"/>
      <c r="N45" s="8"/>
    </row>
    <row r="46" customFormat="false" ht="15" hidden="false" customHeight="true" outlineLevel="0" collapsed="false">
      <c r="G46" s="6" t="s">
        <v>288</v>
      </c>
      <c r="H46" s="6" t="n">
        <v>6</v>
      </c>
      <c r="I46" s="6" t="n">
        <v>10</v>
      </c>
      <c r="J46" s="6" t="s">
        <v>56</v>
      </c>
      <c r="K46" s="8" t="s">
        <v>106</v>
      </c>
      <c r="L46" s="8"/>
      <c r="M46" s="8"/>
      <c r="N46" s="8"/>
    </row>
    <row r="47" customFormat="false" ht="15" hidden="false" customHeight="true" outlineLevel="0" collapsed="false">
      <c r="G47" s="6" t="s">
        <v>358</v>
      </c>
      <c r="H47" s="6" t="n">
        <v>8</v>
      </c>
      <c r="I47" s="6" t="n">
        <v>10</v>
      </c>
      <c r="J47" s="6" t="s">
        <v>56</v>
      </c>
      <c r="K47" s="8" t="s">
        <v>106</v>
      </c>
      <c r="L47" s="8"/>
      <c r="M47" s="8"/>
      <c r="N47" s="8"/>
    </row>
    <row r="48" customFormat="false" ht="15" hidden="false" customHeight="true" outlineLevel="0" collapsed="false">
      <c r="G48" s="6" t="s">
        <v>359</v>
      </c>
      <c r="H48" s="6" t="n">
        <v>9</v>
      </c>
      <c r="I48" s="6" t="n">
        <v>10</v>
      </c>
      <c r="J48" s="6" t="s">
        <v>56</v>
      </c>
      <c r="K48" s="8" t="s">
        <v>106</v>
      </c>
      <c r="L48" s="8"/>
      <c r="M48" s="8"/>
      <c r="N48" s="8"/>
    </row>
    <row r="50" customFormat="false" ht="15" hidden="false" customHeight="true" outlineLevel="0" collapsed="false">
      <c r="A50" s="3" t="s">
        <v>112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customFormat="false" ht="23.85" hidden="false" customHeight="false" outlineLevel="0" collapsed="false">
      <c r="A51" s="5" t="s">
        <v>113</v>
      </c>
      <c r="B51" s="5" t="s">
        <v>114</v>
      </c>
      <c r="C51" s="5" t="s">
        <v>115</v>
      </c>
    </row>
    <row r="52" customFormat="false" ht="23.25" hidden="false" customHeight="true" outlineLevel="0" collapsed="false">
      <c r="A52" s="8" t="s">
        <v>116</v>
      </c>
      <c r="B52" s="8" t="s">
        <v>117</v>
      </c>
      <c r="C52" s="11" t="n">
        <f aca="false">COUNTA(A36:A45)</f>
        <v>10</v>
      </c>
    </row>
    <row r="53" customFormat="false" ht="23.25" hidden="false" customHeight="true" outlineLevel="0" collapsed="false">
      <c r="A53" s="8" t="s">
        <v>118</v>
      </c>
      <c r="B53" s="8" t="s">
        <v>119</v>
      </c>
      <c r="C53" s="11" t="n">
        <f aca="false">COUNTA(G36:G48)</f>
        <v>13</v>
      </c>
    </row>
    <row r="54" customFormat="false" ht="23.25" hidden="false" customHeight="true" outlineLevel="0" collapsed="false">
      <c r="A54" s="8" t="s">
        <v>120</v>
      </c>
      <c r="B54" s="8" t="s">
        <v>121</v>
      </c>
      <c r="C54" s="11" t="n">
        <f aca="false">COUNTIF(C36:C45,"Decision")</f>
        <v>4</v>
      </c>
    </row>
    <row r="55" customFormat="false" ht="23.25" hidden="false" customHeight="true" outlineLevel="0" collapsed="false">
      <c r="A55" s="8" t="s">
        <v>122</v>
      </c>
      <c r="B55" s="8" t="s">
        <v>123</v>
      </c>
      <c r="C55" s="11" t="n">
        <f aca="false">C53-C52+2</f>
        <v>5</v>
      </c>
    </row>
    <row r="56" customFormat="false" ht="23.25" hidden="false" customHeight="true" outlineLevel="0" collapsed="false">
      <c r="A56" s="8" t="s">
        <v>124</v>
      </c>
      <c r="B56" s="8" t="s">
        <v>125</v>
      </c>
      <c r="C56" s="11" t="n">
        <f aca="false">C54+1</f>
        <v>5</v>
      </c>
    </row>
    <row r="57" customFormat="false" ht="23.25" hidden="false" customHeight="true" outlineLevel="0" collapsed="false">
      <c r="A57" s="8" t="s">
        <v>126</v>
      </c>
      <c r="B57" s="8" t="s">
        <v>127</v>
      </c>
      <c r="C57" s="11" t="str">
        <f aca="false">IF(C55=C56,"Yes","MISMATCH")</f>
        <v>Yes</v>
      </c>
    </row>
    <row r="58" customFormat="false" ht="30" hidden="false" customHeight="true" outlineLevel="0" collapsed="false">
      <c r="A58" s="7" t="s">
        <v>128</v>
      </c>
      <c r="B58" s="8" t="s">
        <v>129</v>
      </c>
      <c r="C58" s="16" t="n">
        <f aca="false">C55</f>
        <v>5</v>
      </c>
    </row>
    <row r="59" customFormat="false" ht="23.25" hidden="false" customHeight="true" outlineLevel="0" collapsed="false">
      <c r="A59" s="8" t="s">
        <v>130</v>
      </c>
      <c r="B59" s="8" t="s">
        <v>131</v>
      </c>
      <c r="C59" s="11" t="str">
        <f aca="false">IF(C58&lt;=10,"Simple",IF(C58&lt;=20,"Moderate",IF(C58&lt;=50,"Complex","Unstable")))</f>
        <v>Simple</v>
      </c>
    </row>
    <row r="61" customFormat="false" ht="15" hidden="false" customHeight="true" outlineLevel="0" collapsed="false">
      <c r="A61" s="3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5" hidden="false" customHeight="true" outlineLevel="0" collapsed="false">
      <c r="A62" s="5" t="s">
        <v>133</v>
      </c>
      <c r="B62" s="5" t="s">
        <v>134</v>
      </c>
      <c r="C62" s="5" t="s">
        <v>73</v>
      </c>
      <c r="D62" s="5" t="s">
        <v>135</v>
      </c>
      <c r="E62" s="5" t="s">
        <v>136</v>
      </c>
      <c r="F62" s="5"/>
      <c r="G62" s="5"/>
      <c r="H62" s="5"/>
      <c r="I62" s="5"/>
      <c r="J62" s="5"/>
      <c r="K62" s="5" t="s">
        <v>137</v>
      </c>
      <c r="L62" s="5"/>
      <c r="M62" s="5"/>
      <c r="N62" s="5"/>
    </row>
    <row r="63" customFormat="false" ht="15" hidden="false" customHeight="true" outlineLevel="0" collapsed="false">
      <c r="A63" s="6" t="s">
        <v>138</v>
      </c>
      <c r="B63" s="8" t="s">
        <v>360</v>
      </c>
      <c r="C63" s="6" t="s">
        <v>140</v>
      </c>
      <c r="D63" s="6" t="s">
        <v>141</v>
      </c>
      <c r="E63" s="13" t="s">
        <v>361</v>
      </c>
      <c r="F63" s="13"/>
      <c r="G63" s="13"/>
      <c r="H63" s="13"/>
      <c r="I63" s="13"/>
      <c r="J63" s="13"/>
      <c r="K63" s="8" t="s">
        <v>362</v>
      </c>
      <c r="L63" s="8"/>
      <c r="M63" s="8"/>
      <c r="N63" s="8"/>
    </row>
    <row r="64" customFormat="false" ht="15" hidden="false" customHeight="true" outlineLevel="0" collapsed="false">
      <c r="A64" s="6" t="s">
        <v>143</v>
      </c>
      <c r="B64" s="8" t="s">
        <v>363</v>
      </c>
      <c r="C64" s="6" t="s">
        <v>140</v>
      </c>
      <c r="D64" s="6" t="s">
        <v>141</v>
      </c>
      <c r="E64" s="13" t="s">
        <v>364</v>
      </c>
      <c r="F64" s="13"/>
      <c r="G64" s="13"/>
      <c r="H64" s="13"/>
      <c r="I64" s="13"/>
      <c r="J64" s="13"/>
      <c r="K64" s="8"/>
      <c r="L64" s="8"/>
      <c r="M64" s="8"/>
      <c r="N64" s="8"/>
    </row>
    <row r="65" customFormat="false" ht="15" hidden="false" customHeight="true" outlineLevel="0" collapsed="false">
      <c r="A65" s="6" t="s">
        <v>146</v>
      </c>
      <c r="B65" s="8" t="s">
        <v>365</v>
      </c>
      <c r="C65" s="6" t="s">
        <v>140</v>
      </c>
      <c r="D65" s="6" t="s">
        <v>141</v>
      </c>
      <c r="E65" s="13" t="s">
        <v>366</v>
      </c>
      <c r="F65" s="13"/>
      <c r="G65" s="13"/>
      <c r="H65" s="13"/>
      <c r="I65" s="13"/>
      <c r="J65" s="13"/>
      <c r="K65" s="8"/>
      <c r="L65" s="8"/>
      <c r="M65" s="8"/>
      <c r="N65" s="8"/>
    </row>
    <row r="66" customFormat="false" ht="15" hidden="false" customHeight="true" outlineLevel="0" collapsed="false">
      <c r="A66" s="6" t="s">
        <v>149</v>
      </c>
      <c r="B66" s="8" t="s">
        <v>367</v>
      </c>
      <c r="C66" s="6" t="s">
        <v>140</v>
      </c>
      <c r="D66" s="6" t="s">
        <v>141</v>
      </c>
      <c r="E66" s="13" t="s">
        <v>368</v>
      </c>
      <c r="F66" s="13"/>
      <c r="G66" s="13"/>
      <c r="H66" s="13"/>
      <c r="I66" s="13"/>
      <c r="J66" s="13"/>
      <c r="K66" s="8"/>
      <c r="L66" s="8"/>
      <c r="M66" s="8"/>
      <c r="N66" s="8"/>
    </row>
    <row r="67" customFormat="false" ht="15" hidden="false" customHeight="true" outlineLevel="0" collapsed="false">
      <c r="A67" s="6" t="s">
        <v>152</v>
      </c>
      <c r="B67" s="8" t="s">
        <v>369</v>
      </c>
      <c r="C67" s="6" t="s">
        <v>140</v>
      </c>
      <c r="D67" s="6" t="s">
        <v>141</v>
      </c>
      <c r="E67" s="13" t="s">
        <v>370</v>
      </c>
      <c r="F67" s="13"/>
      <c r="G67" s="13"/>
      <c r="H67" s="13"/>
      <c r="I67" s="13"/>
      <c r="J67" s="13"/>
      <c r="K67" s="8"/>
      <c r="L67" s="8"/>
      <c r="M67" s="8"/>
      <c r="N67" s="8"/>
    </row>
    <row r="68" customFormat="false" ht="15" hidden="false" customHeight="true" outlineLevel="0" collapsed="false">
      <c r="A68" s="7" t="s">
        <v>157</v>
      </c>
      <c r="B68" s="7"/>
      <c r="C68" s="7"/>
      <c r="D68" s="11" t="n">
        <f aca="false">COUNTIF(C63:C67,"Basis")</f>
        <v>5</v>
      </c>
      <c r="E68" s="17" t="str">
        <f aca="false">IF(D68=C58,"= V(G)  ✔","≠ V(G)")</f>
        <v>= V(G)  ✔</v>
      </c>
    </row>
    <row r="69" customFormat="false" ht="15" hidden="false" customHeight="true" outlineLevel="0" collapsed="false">
      <c r="A69" s="7" t="s">
        <v>158</v>
      </c>
      <c r="B69" s="7"/>
      <c r="C69" s="7"/>
      <c r="D69" s="11" t="n">
        <f aca="false">COUNTIF(D63:D67,"No")</f>
        <v>0</v>
      </c>
    </row>
    <row r="71" customFormat="false" ht="15" hidden="false" customHeight="true" outlineLevel="0" collapsed="false">
      <c r="A71" s="3" t="s">
        <v>159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customFormat="false" ht="15" hidden="false" customHeight="true" outlineLevel="0" collapsed="false">
      <c r="A72" s="5" t="s">
        <v>160</v>
      </c>
      <c r="B72" s="5" t="s">
        <v>161</v>
      </c>
      <c r="C72" s="5" t="s">
        <v>133</v>
      </c>
      <c r="D72" s="5" t="s">
        <v>162</v>
      </c>
      <c r="E72" s="5" t="s">
        <v>163</v>
      </c>
      <c r="F72" s="5" t="s">
        <v>164</v>
      </c>
      <c r="G72" s="5" t="s">
        <v>165</v>
      </c>
      <c r="H72" s="5" t="s">
        <v>166</v>
      </c>
      <c r="I72" s="5"/>
      <c r="J72" s="5"/>
      <c r="K72" s="5"/>
      <c r="L72" s="5"/>
    </row>
    <row r="73" customFormat="false" ht="30" hidden="false" customHeight="true" outlineLevel="0" collapsed="false">
      <c r="A73" s="6" t="s">
        <v>167</v>
      </c>
      <c r="B73" s="8" t="s">
        <v>371</v>
      </c>
      <c r="C73" s="6" t="s">
        <v>138</v>
      </c>
      <c r="D73" s="18" t="s">
        <v>372</v>
      </c>
      <c r="E73" s="19" t="s">
        <v>373</v>
      </c>
      <c r="F73" s="19" t="s">
        <v>373</v>
      </c>
      <c r="G73" s="20" t="str">
        <f aca="false">IF(F73="","Not run",IF(F73=E73,"Pass","Fail"))</f>
        <v>Pass</v>
      </c>
      <c r="H73" s="13" t="str">
        <f aca="false">INDEX($E$63:$E$67,MATCH(C73,$A$63:$A$67,0))</f>
        <v>1-3-5-7-9-10</v>
      </c>
      <c r="I73" s="13"/>
      <c r="J73" s="13"/>
      <c r="K73" s="13"/>
      <c r="L73" s="13"/>
    </row>
    <row r="74" customFormat="false" ht="30" hidden="false" customHeight="true" outlineLevel="0" collapsed="false">
      <c r="A74" s="6" t="s">
        <v>170</v>
      </c>
      <c r="B74" s="8" t="s">
        <v>374</v>
      </c>
      <c r="C74" s="6" t="s">
        <v>143</v>
      </c>
      <c r="D74" s="18" t="s">
        <v>375</v>
      </c>
      <c r="E74" s="19" t="s">
        <v>376</v>
      </c>
      <c r="F74" s="19" t="s">
        <v>376</v>
      </c>
      <c r="G74" s="20" t="str">
        <f aca="false">IF(F74="","Not run",IF(F74=E74,"Pass","Fail"))</f>
        <v>Pass</v>
      </c>
      <c r="H74" s="13" t="str">
        <f aca="false">INDEX($E$63:$E$67,MATCH(C74,$A$63:$A$67,0))</f>
        <v>1-2-10</v>
      </c>
      <c r="I74" s="13"/>
      <c r="J74" s="13"/>
      <c r="K74" s="13"/>
      <c r="L74" s="13"/>
    </row>
    <row r="75" customFormat="false" ht="30" hidden="false" customHeight="true" outlineLevel="0" collapsed="false">
      <c r="A75" s="6" t="s">
        <v>174</v>
      </c>
      <c r="B75" s="8" t="s">
        <v>377</v>
      </c>
      <c r="C75" s="6" t="s">
        <v>146</v>
      </c>
      <c r="D75" s="18" t="s">
        <v>378</v>
      </c>
      <c r="E75" s="19" t="s">
        <v>379</v>
      </c>
      <c r="F75" s="19" t="s">
        <v>379</v>
      </c>
      <c r="G75" s="20" t="str">
        <f aca="false">IF(F75="","Not run",IF(F75=E75,"Pass","Fail"))</f>
        <v>Pass</v>
      </c>
      <c r="H75" s="13" t="str">
        <f aca="false">INDEX($E$63:$E$67,MATCH(C75,$A$63:$A$67,0))</f>
        <v>1-3-4-10</v>
      </c>
      <c r="I75" s="13"/>
      <c r="J75" s="13"/>
      <c r="K75" s="13"/>
      <c r="L75" s="13"/>
    </row>
    <row r="76" customFormat="false" ht="30" hidden="false" customHeight="true" outlineLevel="0" collapsed="false">
      <c r="A76" s="6" t="s">
        <v>177</v>
      </c>
      <c r="B76" s="8" t="s">
        <v>380</v>
      </c>
      <c r="C76" s="6" t="s">
        <v>149</v>
      </c>
      <c r="D76" s="18" t="s">
        <v>381</v>
      </c>
      <c r="E76" s="19" t="s">
        <v>382</v>
      </c>
      <c r="F76" s="19" t="s">
        <v>382</v>
      </c>
      <c r="G76" s="20" t="str">
        <f aca="false">IF(F76="","Not run",IF(F76=E76,"Pass","Fail"))</f>
        <v>Pass</v>
      </c>
      <c r="H76" s="13" t="str">
        <f aca="false">INDEX($E$63:$E$67,MATCH(C76,$A$63:$A$67,0))</f>
        <v>1-3-5-6-10</v>
      </c>
      <c r="I76" s="13"/>
      <c r="J76" s="13"/>
      <c r="K76" s="13"/>
      <c r="L76" s="13"/>
    </row>
    <row r="77" customFormat="false" ht="30" hidden="false" customHeight="true" outlineLevel="0" collapsed="false">
      <c r="A77" s="6" t="s">
        <v>180</v>
      </c>
      <c r="B77" s="8" t="s">
        <v>383</v>
      </c>
      <c r="C77" s="6" t="s">
        <v>152</v>
      </c>
      <c r="D77" s="18" t="s">
        <v>384</v>
      </c>
      <c r="E77" s="19" t="s">
        <v>385</v>
      </c>
      <c r="F77" s="19" t="s">
        <v>385</v>
      </c>
      <c r="G77" s="20" t="str">
        <f aca="false">IF(F77="","Not run",IF(F77=E77,"Pass","Fail"))</f>
        <v>Pass</v>
      </c>
      <c r="H77" s="13" t="str">
        <f aca="false">INDEX($E$63:$E$67,MATCH(C77,$A$63:$A$67,0))</f>
        <v>1-3-5-7-8-10</v>
      </c>
      <c r="I77" s="13"/>
      <c r="J77" s="13"/>
      <c r="K77" s="13"/>
      <c r="L77" s="13"/>
    </row>
    <row r="78" customFormat="false" ht="30" hidden="false" customHeight="true" outlineLevel="0" collapsed="false">
      <c r="A78" s="6" t="s">
        <v>183</v>
      </c>
      <c r="B78" s="8" t="s">
        <v>386</v>
      </c>
      <c r="C78" s="6" t="s">
        <v>143</v>
      </c>
      <c r="D78" s="18" t="s">
        <v>387</v>
      </c>
      <c r="E78" s="19" t="s">
        <v>376</v>
      </c>
      <c r="F78" s="19" t="s">
        <v>376</v>
      </c>
      <c r="G78" s="20" t="str">
        <f aca="false">IF(F78="","Not run",IF(F78=E78,"Pass","Fail"))</f>
        <v>Pass</v>
      </c>
      <c r="H78" s="13" t="str">
        <f aca="false">INDEX($E$63:$E$67,MATCH(C78,$A$63:$A$67,0))</f>
        <v>1-2-10</v>
      </c>
      <c r="I78" s="13"/>
      <c r="J78" s="13"/>
      <c r="K78" s="13"/>
      <c r="L78" s="13"/>
    </row>
    <row r="79" customFormat="false" ht="30" hidden="false" customHeight="true" outlineLevel="0" collapsed="false">
      <c r="A79" s="6" t="s">
        <v>186</v>
      </c>
      <c r="B79" s="8" t="s">
        <v>388</v>
      </c>
      <c r="C79" s="6" t="s">
        <v>146</v>
      </c>
      <c r="D79" s="18" t="s">
        <v>389</v>
      </c>
      <c r="E79" s="19" t="s">
        <v>379</v>
      </c>
      <c r="F79" s="19" t="s">
        <v>379</v>
      </c>
      <c r="G79" s="20" t="str">
        <f aca="false">IF(F79="","Not run",IF(F79=E79,"Pass","Fail"))</f>
        <v>Pass</v>
      </c>
      <c r="H79" s="13" t="str">
        <f aca="false">INDEX($E$63:$E$67,MATCH(C79,$A$63:$A$67,0))</f>
        <v>1-3-4-10</v>
      </c>
      <c r="I79" s="13"/>
      <c r="J79" s="13"/>
      <c r="K79" s="13"/>
      <c r="L79" s="13"/>
    </row>
    <row r="80" customFormat="false" ht="30" hidden="false" customHeight="true" outlineLevel="0" collapsed="false">
      <c r="A80" s="6" t="s">
        <v>189</v>
      </c>
      <c r="B80" s="8" t="s">
        <v>390</v>
      </c>
      <c r="C80" s="6" t="s">
        <v>138</v>
      </c>
      <c r="D80" s="18" t="s">
        <v>391</v>
      </c>
      <c r="E80" s="19" t="s">
        <v>373</v>
      </c>
      <c r="F80" s="19" t="s">
        <v>373</v>
      </c>
      <c r="G80" s="20" t="str">
        <f aca="false">IF(F80="","Not run",IF(F80=E80,"Pass","Fail"))</f>
        <v>Pass</v>
      </c>
      <c r="H80" s="13" t="str">
        <f aca="false">INDEX($E$63:$E$67,MATCH(C80,$A$63:$A$67,0))</f>
        <v>1-3-5-7-9-10</v>
      </c>
      <c r="I80" s="13"/>
      <c r="J80" s="13"/>
      <c r="K80" s="13"/>
      <c r="L80" s="13"/>
    </row>
    <row r="81" customFormat="false" ht="30" hidden="false" customHeight="true" outlineLevel="0" collapsed="false">
      <c r="A81" s="6" t="s">
        <v>250</v>
      </c>
      <c r="B81" s="8" t="s">
        <v>392</v>
      </c>
      <c r="C81" s="6" t="s">
        <v>149</v>
      </c>
      <c r="D81" s="18" t="s">
        <v>393</v>
      </c>
      <c r="E81" s="19" t="s">
        <v>382</v>
      </c>
      <c r="F81" s="19" t="s">
        <v>382</v>
      </c>
      <c r="G81" s="20" t="str">
        <f aca="false">IF(F81="","Not run",IF(F81=E81,"Pass","Fail"))</f>
        <v>Pass</v>
      </c>
      <c r="H81" s="13" t="str">
        <f aca="false">INDEX($E$63:$E$67,MATCH(C81,$A$63:$A$67,0))</f>
        <v>1-3-5-6-10</v>
      </c>
      <c r="I81" s="13"/>
      <c r="J81" s="13"/>
      <c r="K81" s="13"/>
      <c r="L81" s="13"/>
    </row>
    <row r="83" customFormat="false" ht="15" hidden="false" customHeight="true" outlineLevel="0" collapsed="false">
      <c r="A83" s="3" t="s">
        <v>192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customFormat="false" ht="15" hidden="false" customHeight="false" outlineLevel="0" collapsed="false">
      <c r="A84" s="5" t="s">
        <v>76</v>
      </c>
      <c r="B84" s="5" t="s">
        <v>77</v>
      </c>
      <c r="C84" s="5" t="s">
        <v>78</v>
      </c>
      <c r="D84" s="5" t="s">
        <v>79</v>
      </c>
      <c r="E84" s="5" t="s">
        <v>167</v>
      </c>
      <c r="F84" s="5" t="s">
        <v>170</v>
      </c>
      <c r="G84" s="5" t="s">
        <v>174</v>
      </c>
      <c r="H84" s="5" t="s">
        <v>177</v>
      </c>
      <c r="I84" s="5" t="s">
        <v>180</v>
      </c>
      <c r="J84" s="5" t="s">
        <v>183</v>
      </c>
      <c r="K84" s="5" t="s">
        <v>186</v>
      </c>
      <c r="L84" s="5" t="s">
        <v>189</v>
      </c>
      <c r="M84" s="5" t="s">
        <v>250</v>
      </c>
      <c r="N84" s="5" t="s">
        <v>193</v>
      </c>
      <c r="O84" s="5" t="s">
        <v>165</v>
      </c>
    </row>
    <row r="85" customFormat="false" ht="15" hidden="false" customHeight="true" outlineLevel="0" collapsed="false">
      <c r="A85" s="6" t="str">
        <f aca="false">G36</f>
        <v>E1</v>
      </c>
      <c r="B85" s="6" t="n">
        <f aca="false">H36</f>
        <v>1</v>
      </c>
      <c r="C85" s="6" t="n">
        <f aca="false">I36</f>
        <v>2</v>
      </c>
      <c r="D85" s="6" t="str">
        <f aca="false">J36</f>
        <v>T</v>
      </c>
      <c r="E85" s="21" t="n">
        <f aca="false">IF(ISNUMBER(SEARCH("-"&amp;$B85&amp;"-"&amp;$C85&amp;"-","-"&amp;INDEX($H$73:$H$81,MATCH(E$84,$A$73:$A$81,0))&amp;"-")),1,0)</f>
        <v>0</v>
      </c>
      <c r="F85" s="21" t="n">
        <f aca="false">IF(ISNUMBER(SEARCH("-"&amp;$B85&amp;"-"&amp;$C85&amp;"-","-"&amp;INDEX($H$73:$H$81,MATCH(F$84,$A$73:$A$81,0))&amp;"-")),1,0)</f>
        <v>1</v>
      </c>
      <c r="G85" s="21" t="n">
        <f aca="false">IF(ISNUMBER(SEARCH("-"&amp;$B85&amp;"-"&amp;$C85&amp;"-","-"&amp;INDEX($H$73:$H$81,MATCH(G$84,$A$73:$A$81,0))&amp;"-")),1,0)</f>
        <v>0</v>
      </c>
      <c r="H85" s="21" t="n">
        <f aca="false">IF(ISNUMBER(SEARCH("-"&amp;$B85&amp;"-"&amp;$C85&amp;"-","-"&amp;INDEX($H$73:$H$81,MATCH(H$84,$A$73:$A$81,0))&amp;"-")),1,0)</f>
        <v>0</v>
      </c>
      <c r="I85" s="21" t="n">
        <f aca="false">IF(ISNUMBER(SEARCH("-"&amp;$B85&amp;"-"&amp;$C85&amp;"-","-"&amp;INDEX($H$73:$H$81,MATCH(I$84,$A$73:$A$81,0))&amp;"-")),1,0)</f>
        <v>0</v>
      </c>
      <c r="J85" s="21" t="n">
        <f aca="false">IF(ISNUMBER(SEARCH("-"&amp;$B85&amp;"-"&amp;$C85&amp;"-","-"&amp;INDEX($H$73:$H$81,MATCH(J$84,$A$73:$A$81,0))&amp;"-")),1,0)</f>
        <v>1</v>
      </c>
      <c r="K85" s="21" t="n">
        <f aca="false">IF(ISNUMBER(SEARCH("-"&amp;$B85&amp;"-"&amp;$C85&amp;"-","-"&amp;INDEX($H$73:$H$81,MATCH(K$84,$A$73:$A$81,0))&amp;"-")),1,0)</f>
        <v>0</v>
      </c>
      <c r="L85" s="21" t="n">
        <f aca="false">IF(ISNUMBER(SEARCH("-"&amp;$B85&amp;"-"&amp;$C85&amp;"-","-"&amp;INDEX($H$73:$H$81,MATCH(L$84,$A$73:$A$81,0))&amp;"-")),1,0)</f>
        <v>0</v>
      </c>
      <c r="M85" s="21" t="n">
        <f aca="false">IF(ISNUMBER(SEARCH("-"&amp;$B85&amp;"-"&amp;$C85&amp;"-","-"&amp;INDEX($H$73:$H$81,MATCH(M$84,$A$73:$A$81,0))&amp;"-")),1,0)</f>
        <v>0</v>
      </c>
      <c r="N85" s="6" t="n">
        <f aca="false">SUM(E85:M85)</f>
        <v>2</v>
      </c>
      <c r="O85" s="6" t="str">
        <f aca="false">IF(N85&gt;0,"Covered","NOT covered")</f>
        <v>Covered</v>
      </c>
    </row>
    <row r="86" customFormat="false" ht="15" hidden="false" customHeight="true" outlineLevel="0" collapsed="false">
      <c r="A86" s="6" t="str">
        <f aca="false">G37</f>
        <v>E2</v>
      </c>
      <c r="B86" s="6" t="n">
        <f aca="false">H37</f>
        <v>1</v>
      </c>
      <c r="C86" s="6" t="n">
        <f aca="false">I37</f>
        <v>3</v>
      </c>
      <c r="D86" s="6" t="str">
        <f aca="false">J37</f>
        <v>F</v>
      </c>
      <c r="E86" s="21" t="n">
        <f aca="false">IF(ISNUMBER(SEARCH("-"&amp;$B86&amp;"-"&amp;$C86&amp;"-","-"&amp;INDEX($H$73:$H$81,MATCH(E$84,$A$73:$A$81,0))&amp;"-")),1,0)</f>
        <v>1</v>
      </c>
      <c r="F86" s="21" t="n">
        <f aca="false">IF(ISNUMBER(SEARCH("-"&amp;$B86&amp;"-"&amp;$C86&amp;"-","-"&amp;INDEX($H$73:$H$81,MATCH(F$84,$A$73:$A$81,0))&amp;"-")),1,0)</f>
        <v>0</v>
      </c>
      <c r="G86" s="21" t="n">
        <f aca="false">IF(ISNUMBER(SEARCH("-"&amp;$B86&amp;"-"&amp;$C86&amp;"-","-"&amp;INDEX($H$73:$H$81,MATCH(G$84,$A$73:$A$81,0))&amp;"-")),1,0)</f>
        <v>1</v>
      </c>
      <c r="H86" s="21" t="n">
        <f aca="false">IF(ISNUMBER(SEARCH("-"&amp;$B86&amp;"-"&amp;$C86&amp;"-","-"&amp;INDEX($H$73:$H$81,MATCH(H$84,$A$73:$A$81,0))&amp;"-")),1,0)</f>
        <v>1</v>
      </c>
      <c r="I86" s="21" t="n">
        <f aca="false">IF(ISNUMBER(SEARCH("-"&amp;$B86&amp;"-"&amp;$C86&amp;"-","-"&amp;INDEX($H$73:$H$81,MATCH(I$84,$A$73:$A$81,0))&amp;"-")),1,0)</f>
        <v>1</v>
      </c>
      <c r="J86" s="21" t="n">
        <f aca="false">IF(ISNUMBER(SEARCH("-"&amp;$B86&amp;"-"&amp;$C86&amp;"-","-"&amp;INDEX($H$73:$H$81,MATCH(J$84,$A$73:$A$81,0))&amp;"-")),1,0)</f>
        <v>0</v>
      </c>
      <c r="K86" s="21" t="n">
        <f aca="false">IF(ISNUMBER(SEARCH("-"&amp;$B86&amp;"-"&amp;$C86&amp;"-","-"&amp;INDEX($H$73:$H$81,MATCH(K$84,$A$73:$A$81,0))&amp;"-")),1,0)</f>
        <v>1</v>
      </c>
      <c r="L86" s="21" t="n">
        <f aca="false">IF(ISNUMBER(SEARCH("-"&amp;$B86&amp;"-"&amp;$C86&amp;"-","-"&amp;INDEX($H$73:$H$81,MATCH(L$84,$A$73:$A$81,0))&amp;"-")),1,0)</f>
        <v>1</v>
      </c>
      <c r="M86" s="21" t="n">
        <f aca="false">IF(ISNUMBER(SEARCH("-"&amp;$B86&amp;"-"&amp;$C86&amp;"-","-"&amp;INDEX($H$73:$H$81,MATCH(M$84,$A$73:$A$81,0))&amp;"-")),1,0)</f>
        <v>1</v>
      </c>
      <c r="N86" s="6" t="n">
        <f aca="false">SUM(E86:M86)</f>
        <v>7</v>
      </c>
      <c r="O86" s="6" t="str">
        <f aca="false">IF(N86&gt;0,"Covered","NOT covered")</f>
        <v>Covered</v>
      </c>
    </row>
    <row r="87" customFormat="false" ht="15" hidden="false" customHeight="true" outlineLevel="0" collapsed="false">
      <c r="A87" s="6" t="str">
        <f aca="false">G38</f>
        <v>E3</v>
      </c>
      <c r="B87" s="6" t="n">
        <f aca="false">H38</f>
        <v>3</v>
      </c>
      <c r="C87" s="6" t="n">
        <f aca="false">I38</f>
        <v>4</v>
      </c>
      <c r="D87" s="6" t="str">
        <f aca="false">J38</f>
        <v>T</v>
      </c>
      <c r="E87" s="21" t="n">
        <f aca="false">IF(ISNUMBER(SEARCH("-"&amp;$B87&amp;"-"&amp;$C87&amp;"-","-"&amp;INDEX($H$73:$H$81,MATCH(E$84,$A$73:$A$81,0))&amp;"-")),1,0)</f>
        <v>0</v>
      </c>
      <c r="F87" s="21" t="n">
        <f aca="false">IF(ISNUMBER(SEARCH("-"&amp;$B87&amp;"-"&amp;$C87&amp;"-","-"&amp;INDEX($H$73:$H$81,MATCH(F$84,$A$73:$A$81,0))&amp;"-")),1,0)</f>
        <v>0</v>
      </c>
      <c r="G87" s="21" t="n">
        <f aca="false">IF(ISNUMBER(SEARCH("-"&amp;$B87&amp;"-"&amp;$C87&amp;"-","-"&amp;INDEX($H$73:$H$81,MATCH(G$84,$A$73:$A$81,0))&amp;"-")),1,0)</f>
        <v>1</v>
      </c>
      <c r="H87" s="21" t="n">
        <f aca="false">IF(ISNUMBER(SEARCH("-"&amp;$B87&amp;"-"&amp;$C87&amp;"-","-"&amp;INDEX($H$73:$H$81,MATCH(H$84,$A$73:$A$81,0))&amp;"-")),1,0)</f>
        <v>0</v>
      </c>
      <c r="I87" s="21" t="n">
        <f aca="false">IF(ISNUMBER(SEARCH("-"&amp;$B87&amp;"-"&amp;$C87&amp;"-","-"&amp;INDEX($H$73:$H$81,MATCH(I$84,$A$73:$A$81,0))&amp;"-")),1,0)</f>
        <v>0</v>
      </c>
      <c r="J87" s="21" t="n">
        <f aca="false">IF(ISNUMBER(SEARCH("-"&amp;$B87&amp;"-"&amp;$C87&amp;"-","-"&amp;INDEX($H$73:$H$81,MATCH(J$84,$A$73:$A$81,0))&amp;"-")),1,0)</f>
        <v>0</v>
      </c>
      <c r="K87" s="21" t="n">
        <f aca="false">IF(ISNUMBER(SEARCH("-"&amp;$B87&amp;"-"&amp;$C87&amp;"-","-"&amp;INDEX($H$73:$H$81,MATCH(K$84,$A$73:$A$81,0))&amp;"-")),1,0)</f>
        <v>1</v>
      </c>
      <c r="L87" s="21" t="n">
        <f aca="false">IF(ISNUMBER(SEARCH("-"&amp;$B87&amp;"-"&amp;$C87&amp;"-","-"&amp;INDEX($H$73:$H$81,MATCH(L$84,$A$73:$A$81,0))&amp;"-")),1,0)</f>
        <v>0</v>
      </c>
      <c r="M87" s="21" t="n">
        <f aca="false">IF(ISNUMBER(SEARCH("-"&amp;$B87&amp;"-"&amp;$C87&amp;"-","-"&amp;INDEX($H$73:$H$81,MATCH(M$84,$A$73:$A$81,0))&amp;"-")),1,0)</f>
        <v>0</v>
      </c>
      <c r="N87" s="6" t="n">
        <f aca="false">SUM(E87:M87)</f>
        <v>2</v>
      </c>
      <c r="O87" s="6" t="str">
        <f aca="false">IF(N87&gt;0,"Covered","NOT covered")</f>
        <v>Covered</v>
      </c>
    </row>
    <row r="88" customFormat="false" ht="15" hidden="false" customHeight="true" outlineLevel="0" collapsed="false">
      <c r="A88" s="6" t="str">
        <f aca="false">G39</f>
        <v>E4</v>
      </c>
      <c r="B88" s="6" t="n">
        <f aca="false">H39</f>
        <v>3</v>
      </c>
      <c r="C88" s="6" t="n">
        <f aca="false">I39</f>
        <v>5</v>
      </c>
      <c r="D88" s="6" t="str">
        <f aca="false">J39</f>
        <v>F</v>
      </c>
      <c r="E88" s="21" t="n">
        <f aca="false">IF(ISNUMBER(SEARCH("-"&amp;$B88&amp;"-"&amp;$C88&amp;"-","-"&amp;INDEX($H$73:$H$81,MATCH(E$84,$A$73:$A$81,0))&amp;"-")),1,0)</f>
        <v>1</v>
      </c>
      <c r="F88" s="21" t="n">
        <f aca="false">IF(ISNUMBER(SEARCH("-"&amp;$B88&amp;"-"&amp;$C88&amp;"-","-"&amp;INDEX($H$73:$H$81,MATCH(F$84,$A$73:$A$81,0))&amp;"-")),1,0)</f>
        <v>0</v>
      </c>
      <c r="G88" s="21" t="n">
        <f aca="false">IF(ISNUMBER(SEARCH("-"&amp;$B88&amp;"-"&amp;$C88&amp;"-","-"&amp;INDEX($H$73:$H$81,MATCH(G$84,$A$73:$A$81,0))&amp;"-")),1,0)</f>
        <v>0</v>
      </c>
      <c r="H88" s="21" t="n">
        <f aca="false">IF(ISNUMBER(SEARCH("-"&amp;$B88&amp;"-"&amp;$C88&amp;"-","-"&amp;INDEX($H$73:$H$81,MATCH(H$84,$A$73:$A$81,0))&amp;"-")),1,0)</f>
        <v>1</v>
      </c>
      <c r="I88" s="21" t="n">
        <f aca="false">IF(ISNUMBER(SEARCH("-"&amp;$B88&amp;"-"&amp;$C88&amp;"-","-"&amp;INDEX($H$73:$H$81,MATCH(I$84,$A$73:$A$81,0))&amp;"-")),1,0)</f>
        <v>1</v>
      </c>
      <c r="J88" s="21" t="n">
        <f aca="false">IF(ISNUMBER(SEARCH("-"&amp;$B88&amp;"-"&amp;$C88&amp;"-","-"&amp;INDEX($H$73:$H$81,MATCH(J$84,$A$73:$A$81,0))&amp;"-")),1,0)</f>
        <v>0</v>
      </c>
      <c r="K88" s="21" t="n">
        <f aca="false">IF(ISNUMBER(SEARCH("-"&amp;$B88&amp;"-"&amp;$C88&amp;"-","-"&amp;INDEX($H$73:$H$81,MATCH(K$84,$A$73:$A$81,0))&amp;"-")),1,0)</f>
        <v>0</v>
      </c>
      <c r="L88" s="21" t="n">
        <f aca="false">IF(ISNUMBER(SEARCH("-"&amp;$B88&amp;"-"&amp;$C88&amp;"-","-"&amp;INDEX($H$73:$H$81,MATCH(L$84,$A$73:$A$81,0))&amp;"-")),1,0)</f>
        <v>1</v>
      </c>
      <c r="M88" s="21" t="n">
        <f aca="false">IF(ISNUMBER(SEARCH("-"&amp;$B88&amp;"-"&amp;$C88&amp;"-","-"&amp;INDEX($H$73:$H$81,MATCH(M$84,$A$73:$A$81,0))&amp;"-")),1,0)</f>
        <v>1</v>
      </c>
      <c r="N88" s="6" t="n">
        <f aca="false">SUM(E88:M88)</f>
        <v>5</v>
      </c>
      <c r="O88" s="6" t="str">
        <f aca="false">IF(N88&gt;0,"Covered","NOT covered")</f>
        <v>Covered</v>
      </c>
    </row>
    <row r="89" customFormat="false" ht="15" hidden="false" customHeight="true" outlineLevel="0" collapsed="false">
      <c r="A89" s="6" t="str">
        <f aca="false">G40</f>
        <v>E5</v>
      </c>
      <c r="B89" s="6" t="n">
        <f aca="false">H40</f>
        <v>5</v>
      </c>
      <c r="C89" s="6" t="n">
        <f aca="false">I40</f>
        <v>6</v>
      </c>
      <c r="D89" s="6" t="str">
        <f aca="false">J40</f>
        <v>T</v>
      </c>
      <c r="E89" s="21" t="n">
        <f aca="false">IF(ISNUMBER(SEARCH("-"&amp;$B89&amp;"-"&amp;$C89&amp;"-","-"&amp;INDEX($H$73:$H$81,MATCH(E$84,$A$73:$A$81,0))&amp;"-")),1,0)</f>
        <v>0</v>
      </c>
      <c r="F89" s="21" t="n">
        <f aca="false">IF(ISNUMBER(SEARCH("-"&amp;$B89&amp;"-"&amp;$C89&amp;"-","-"&amp;INDEX($H$73:$H$81,MATCH(F$84,$A$73:$A$81,0))&amp;"-")),1,0)</f>
        <v>0</v>
      </c>
      <c r="G89" s="21" t="n">
        <f aca="false">IF(ISNUMBER(SEARCH("-"&amp;$B89&amp;"-"&amp;$C89&amp;"-","-"&amp;INDEX($H$73:$H$81,MATCH(G$84,$A$73:$A$81,0))&amp;"-")),1,0)</f>
        <v>0</v>
      </c>
      <c r="H89" s="21" t="n">
        <f aca="false">IF(ISNUMBER(SEARCH("-"&amp;$B89&amp;"-"&amp;$C89&amp;"-","-"&amp;INDEX($H$73:$H$81,MATCH(H$84,$A$73:$A$81,0))&amp;"-")),1,0)</f>
        <v>1</v>
      </c>
      <c r="I89" s="21" t="n">
        <f aca="false">IF(ISNUMBER(SEARCH("-"&amp;$B89&amp;"-"&amp;$C89&amp;"-","-"&amp;INDEX($H$73:$H$81,MATCH(I$84,$A$73:$A$81,0))&amp;"-")),1,0)</f>
        <v>0</v>
      </c>
      <c r="J89" s="21" t="n">
        <f aca="false">IF(ISNUMBER(SEARCH("-"&amp;$B89&amp;"-"&amp;$C89&amp;"-","-"&amp;INDEX($H$73:$H$81,MATCH(J$84,$A$73:$A$81,0))&amp;"-")),1,0)</f>
        <v>0</v>
      </c>
      <c r="K89" s="21" t="n">
        <f aca="false">IF(ISNUMBER(SEARCH("-"&amp;$B89&amp;"-"&amp;$C89&amp;"-","-"&amp;INDEX($H$73:$H$81,MATCH(K$84,$A$73:$A$81,0))&amp;"-")),1,0)</f>
        <v>0</v>
      </c>
      <c r="L89" s="21" t="n">
        <f aca="false">IF(ISNUMBER(SEARCH("-"&amp;$B89&amp;"-"&amp;$C89&amp;"-","-"&amp;INDEX($H$73:$H$81,MATCH(L$84,$A$73:$A$81,0))&amp;"-")),1,0)</f>
        <v>0</v>
      </c>
      <c r="M89" s="21" t="n">
        <f aca="false">IF(ISNUMBER(SEARCH("-"&amp;$B89&amp;"-"&amp;$C89&amp;"-","-"&amp;INDEX($H$73:$H$81,MATCH(M$84,$A$73:$A$81,0))&amp;"-")),1,0)</f>
        <v>1</v>
      </c>
      <c r="N89" s="6" t="n">
        <f aca="false">SUM(E89:M89)</f>
        <v>2</v>
      </c>
      <c r="O89" s="6" t="str">
        <f aca="false">IF(N89&gt;0,"Covered","NOT covered")</f>
        <v>Covered</v>
      </c>
    </row>
    <row r="90" customFormat="false" ht="15" hidden="false" customHeight="true" outlineLevel="0" collapsed="false">
      <c r="A90" s="6" t="str">
        <f aca="false">G41</f>
        <v>E6</v>
      </c>
      <c r="B90" s="6" t="n">
        <f aca="false">H41</f>
        <v>5</v>
      </c>
      <c r="C90" s="6" t="n">
        <f aca="false">I41</f>
        <v>7</v>
      </c>
      <c r="D90" s="6" t="str">
        <f aca="false">J41</f>
        <v>F</v>
      </c>
      <c r="E90" s="21" t="n">
        <f aca="false">IF(ISNUMBER(SEARCH("-"&amp;$B90&amp;"-"&amp;$C90&amp;"-","-"&amp;INDEX($H$73:$H$81,MATCH(E$84,$A$73:$A$81,0))&amp;"-")),1,0)</f>
        <v>1</v>
      </c>
      <c r="F90" s="21" t="n">
        <f aca="false">IF(ISNUMBER(SEARCH("-"&amp;$B90&amp;"-"&amp;$C90&amp;"-","-"&amp;INDEX($H$73:$H$81,MATCH(F$84,$A$73:$A$81,0))&amp;"-")),1,0)</f>
        <v>0</v>
      </c>
      <c r="G90" s="21" t="n">
        <f aca="false">IF(ISNUMBER(SEARCH("-"&amp;$B90&amp;"-"&amp;$C90&amp;"-","-"&amp;INDEX($H$73:$H$81,MATCH(G$84,$A$73:$A$81,0))&amp;"-")),1,0)</f>
        <v>0</v>
      </c>
      <c r="H90" s="21" t="n">
        <f aca="false">IF(ISNUMBER(SEARCH("-"&amp;$B90&amp;"-"&amp;$C90&amp;"-","-"&amp;INDEX($H$73:$H$81,MATCH(H$84,$A$73:$A$81,0))&amp;"-")),1,0)</f>
        <v>0</v>
      </c>
      <c r="I90" s="21" t="n">
        <f aca="false">IF(ISNUMBER(SEARCH("-"&amp;$B90&amp;"-"&amp;$C90&amp;"-","-"&amp;INDEX($H$73:$H$81,MATCH(I$84,$A$73:$A$81,0))&amp;"-")),1,0)</f>
        <v>1</v>
      </c>
      <c r="J90" s="21" t="n">
        <f aca="false">IF(ISNUMBER(SEARCH("-"&amp;$B90&amp;"-"&amp;$C90&amp;"-","-"&amp;INDEX($H$73:$H$81,MATCH(J$84,$A$73:$A$81,0))&amp;"-")),1,0)</f>
        <v>0</v>
      </c>
      <c r="K90" s="21" t="n">
        <f aca="false">IF(ISNUMBER(SEARCH("-"&amp;$B90&amp;"-"&amp;$C90&amp;"-","-"&amp;INDEX($H$73:$H$81,MATCH(K$84,$A$73:$A$81,0))&amp;"-")),1,0)</f>
        <v>0</v>
      </c>
      <c r="L90" s="21" t="n">
        <f aca="false">IF(ISNUMBER(SEARCH("-"&amp;$B90&amp;"-"&amp;$C90&amp;"-","-"&amp;INDEX($H$73:$H$81,MATCH(L$84,$A$73:$A$81,0))&amp;"-")),1,0)</f>
        <v>1</v>
      </c>
      <c r="M90" s="21" t="n">
        <f aca="false">IF(ISNUMBER(SEARCH("-"&amp;$B90&amp;"-"&amp;$C90&amp;"-","-"&amp;INDEX($H$73:$H$81,MATCH(M$84,$A$73:$A$81,0))&amp;"-")),1,0)</f>
        <v>0</v>
      </c>
      <c r="N90" s="6" t="n">
        <f aca="false">SUM(E90:M90)</f>
        <v>3</v>
      </c>
      <c r="O90" s="6" t="str">
        <f aca="false">IF(N90&gt;0,"Covered","NOT covered")</f>
        <v>Covered</v>
      </c>
    </row>
    <row r="91" customFormat="false" ht="15" hidden="false" customHeight="true" outlineLevel="0" collapsed="false">
      <c r="A91" s="6" t="str">
        <f aca="false">G42</f>
        <v>E7</v>
      </c>
      <c r="B91" s="6" t="n">
        <f aca="false">H42</f>
        <v>7</v>
      </c>
      <c r="C91" s="6" t="n">
        <f aca="false">I42</f>
        <v>8</v>
      </c>
      <c r="D91" s="6" t="str">
        <f aca="false">J42</f>
        <v>T</v>
      </c>
      <c r="E91" s="21" t="n">
        <f aca="false">IF(ISNUMBER(SEARCH("-"&amp;$B91&amp;"-"&amp;$C91&amp;"-","-"&amp;INDEX($H$73:$H$81,MATCH(E$84,$A$73:$A$81,0))&amp;"-")),1,0)</f>
        <v>0</v>
      </c>
      <c r="F91" s="21" t="n">
        <f aca="false">IF(ISNUMBER(SEARCH("-"&amp;$B91&amp;"-"&amp;$C91&amp;"-","-"&amp;INDEX($H$73:$H$81,MATCH(F$84,$A$73:$A$81,0))&amp;"-")),1,0)</f>
        <v>0</v>
      </c>
      <c r="G91" s="21" t="n">
        <f aca="false">IF(ISNUMBER(SEARCH("-"&amp;$B91&amp;"-"&amp;$C91&amp;"-","-"&amp;INDEX($H$73:$H$81,MATCH(G$84,$A$73:$A$81,0))&amp;"-")),1,0)</f>
        <v>0</v>
      </c>
      <c r="H91" s="21" t="n">
        <f aca="false">IF(ISNUMBER(SEARCH("-"&amp;$B91&amp;"-"&amp;$C91&amp;"-","-"&amp;INDEX($H$73:$H$81,MATCH(H$84,$A$73:$A$81,0))&amp;"-")),1,0)</f>
        <v>0</v>
      </c>
      <c r="I91" s="21" t="n">
        <f aca="false">IF(ISNUMBER(SEARCH("-"&amp;$B91&amp;"-"&amp;$C91&amp;"-","-"&amp;INDEX($H$73:$H$81,MATCH(I$84,$A$73:$A$81,0))&amp;"-")),1,0)</f>
        <v>1</v>
      </c>
      <c r="J91" s="21" t="n">
        <f aca="false">IF(ISNUMBER(SEARCH("-"&amp;$B91&amp;"-"&amp;$C91&amp;"-","-"&amp;INDEX($H$73:$H$81,MATCH(J$84,$A$73:$A$81,0))&amp;"-")),1,0)</f>
        <v>0</v>
      </c>
      <c r="K91" s="21" t="n">
        <f aca="false">IF(ISNUMBER(SEARCH("-"&amp;$B91&amp;"-"&amp;$C91&amp;"-","-"&amp;INDEX($H$73:$H$81,MATCH(K$84,$A$73:$A$81,0))&amp;"-")),1,0)</f>
        <v>0</v>
      </c>
      <c r="L91" s="21" t="n">
        <f aca="false">IF(ISNUMBER(SEARCH("-"&amp;$B91&amp;"-"&amp;$C91&amp;"-","-"&amp;INDEX($H$73:$H$81,MATCH(L$84,$A$73:$A$81,0))&amp;"-")),1,0)</f>
        <v>0</v>
      </c>
      <c r="M91" s="21" t="n">
        <f aca="false">IF(ISNUMBER(SEARCH("-"&amp;$B91&amp;"-"&amp;$C91&amp;"-","-"&amp;INDEX($H$73:$H$81,MATCH(M$84,$A$73:$A$81,0))&amp;"-")),1,0)</f>
        <v>0</v>
      </c>
      <c r="N91" s="6" t="n">
        <f aca="false">SUM(E91:M91)</f>
        <v>1</v>
      </c>
      <c r="O91" s="6" t="str">
        <f aca="false">IF(N91&gt;0,"Covered","NOT covered")</f>
        <v>Covered</v>
      </c>
    </row>
    <row r="92" customFormat="false" ht="15" hidden="false" customHeight="true" outlineLevel="0" collapsed="false">
      <c r="A92" s="6" t="str">
        <f aca="false">G43</f>
        <v>E8</v>
      </c>
      <c r="B92" s="6" t="n">
        <f aca="false">H43</f>
        <v>7</v>
      </c>
      <c r="C92" s="6" t="n">
        <f aca="false">I43</f>
        <v>9</v>
      </c>
      <c r="D92" s="6" t="str">
        <f aca="false">J43</f>
        <v>F</v>
      </c>
      <c r="E92" s="21" t="n">
        <f aca="false">IF(ISNUMBER(SEARCH("-"&amp;$B92&amp;"-"&amp;$C92&amp;"-","-"&amp;INDEX($H$73:$H$81,MATCH(E$84,$A$73:$A$81,0))&amp;"-")),1,0)</f>
        <v>1</v>
      </c>
      <c r="F92" s="21" t="n">
        <f aca="false">IF(ISNUMBER(SEARCH("-"&amp;$B92&amp;"-"&amp;$C92&amp;"-","-"&amp;INDEX($H$73:$H$81,MATCH(F$84,$A$73:$A$81,0))&amp;"-")),1,0)</f>
        <v>0</v>
      </c>
      <c r="G92" s="21" t="n">
        <f aca="false">IF(ISNUMBER(SEARCH("-"&amp;$B92&amp;"-"&amp;$C92&amp;"-","-"&amp;INDEX($H$73:$H$81,MATCH(G$84,$A$73:$A$81,0))&amp;"-")),1,0)</f>
        <v>0</v>
      </c>
      <c r="H92" s="21" t="n">
        <f aca="false">IF(ISNUMBER(SEARCH("-"&amp;$B92&amp;"-"&amp;$C92&amp;"-","-"&amp;INDEX($H$73:$H$81,MATCH(H$84,$A$73:$A$81,0))&amp;"-")),1,0)</f>
        <v>0</v>
      </c>
      <c r="I92" s="21" t="n">
        <f aca="false">IF(ISNUMBER(SEARCH("-"&amp;$B92&amp;"-"&amp;$C92&amp;"-","-"&amp;INDEX($H$73:$H$81,MATCH(I$84,$A$73:$A$81,0))&amp;"-")),1,0)</f>
        <v>0</v>
      </c>
      <c r="J92" s="21" t="n">
        <f aca="false">IF(ISNUMBER(SEARCH("-"&amp;$B92&amp;"-"&amp;$C92&amp;"-","-"&amp;INDEX($H$73:$H$81,MATCH(J$84,$A$73:$A$81,0))&amp;"-")),1,0)</f>
        <v>0</v>
      </c>
      <c r="K92" s="21" t="n">
        <f aca="false">IF(ISNUMBER(SEARCH("-"&amp;$B92&amp;"-"&amp;$C92&amp;"-","-"&amp;INDEX($H$73:$H$81,MATCH(K$84,$A$73:$A$81,0))&amp;"-")),1,0)</f>
        <v>0</v>
      </c>
      <c r="L92" s="21" t="n">
        <f aca="false">IF(ISNUMBER(SEARCH("-"&amp;$B92&amp;"-"&amp;$C92&amp;"-","-"&amp;INDEX($H$73:$H$81,MATCH(L$84,$A$73:$A$81,0))&amp;"-")),1,0)</f>
        <v>1</v>
      </c>
      <c r="M92" s="21" t="n">
        <f aca="false">IF(ISNUMBER(SEARCH("-"&amp;$B92&amp;"-"&amp;$C92&amp;"-","-"&amp;INDEX($H$73:$H$81,MATCH(M$84,$A$73:$A$81,0))&amp;"-")),1,0)</f>
        <v>0</v>
      </c>
      <c r="N92" s="6" t="n">
        <f aca="false">SUM(E92:M92)</f>
        <v>2</v>
      </c>
      <c r="O92" s="6" t="str">
        <f aca="false">IF(N92&gt;0,"Covered","NOT covered")</f>
        <v>Covered</v>
      </c>
    </row>
    <row r="93" customFormat="false" ht="15" hidden="false" customHeight="true" outlineLevel="0" collapsed="false">
      <c r="A93" s="6" t="str">
        <f aca="false">G44</f>
        <v>E9</v>
      </c>
      <c r="B93" s="6" t="n">
        <f aca="false">H44</f>
        <v>2</v>
      </c>
      <c r="C93" s="6" t="n">
        <f aca="false">I44</f>
        <v>10</v>
      </c>
      <c r="D93" s="6" t="str">
        <f aca="false">J44</f>
        <v>-</v>
      </c>
      <c r="E93" s="21" t="n">
        <f aca="false">IF(ISNUMBER(SEARCH("-"&amp;$B93&amp;"-"&amp;$C93&amp;"-","-"&amp;INDEX($H$73:$H$81,MATCH(E$84,$A$73:$A$81,0))&amp;"-")),1,0)</f>
        <v>0</v>
      </c>
      <c r="F93" s="21" t="n">
        <f aca="false">IF(ISNUMBER(SEARCH("-"&amp;$B93&amp;"-"&amp;$C93&amp;"-","-"&amp;INDEX($H$73:$H$81,MATCH(F$84,$A$73:$A$81,0))&amp;"-")),1,0)</f>
        <v>1</v>
      </c>
      <c r="G93" s="21" t="n">
        <f aca="false">IF(ISNUMBER(SEARCH("-"&amp;$B93&amp;"-"&amp;$C93&amp;"-","-"&amp;INDEX($H$73:$H$81,MATCH(G$84,$A$73:$A$81,0))&amp;"-")),1,0)</f>
        <v>0</v>
      </c>
      <c r="H93" s="21" t="n">
        <f aca="false">IF(ISNUMBER(SEARCH("-"&amp;$B93&amp;"-"&amp;$C93&amp;"-","-"&amp;INDEX($H$73:$H$81,MATCH(H$84,$A$73:$A$81,0))&amp;"-")),1,0)</f>
        <v>0</v>
      </c>
      <c r="I93" s="21" t="n">
        <f aca="false">IF(ISNUMBER(SEARCH("-"&amp;$B93&amp;"-"&amp;$C93&amp;"-","-"&amp;INDEX($H$73:$H$81,MATCH(I$84,$A$73:$A$81,0))&amp;"-")),1,0)</f>
        <v>0</v>
      </c>
      <c r="J93" s="21" t="n">
        <f aca="false">IF(ISNUMBER(SEARCH("-"&amp;$B93&amp;"-"&amp;$C93&amp;"-","-"&amp;INDEX($H$73:$H$81,MATCH(J$84,$A$73:$A$81,0))&amp;"-")),1,0)</f>
        <v>1</v>
      </c>
      <c r="K93" s="21" t="n">
        <f aca="false">IF(ISNUMBER(SEARCH("-"&amp;$B93&amp;"-"&amp;$C93&amp;"-","-"&amp;INDEX($H$73:$H$81,MATCH(K$84,$A$73:$A$81,0))&amp;"-")),1,0)</f>
        <v>0</v>
      </c>
      <c r="L93" s="21" t="n">
        <f aca="false">IF(ISNUMBER(SEARCH("-"&amp;$B93&amp;"-"&amp;$C93&amp;"-","-"&amp;INDEX($H$73:$H$81,MATCH(L$84,$A$73:$A$81,0))&amp;"-")),1,0)</f>
        <v>0</v>
      </c>
      <c r="M93" s="21" t="n">
        <f aca="false">IF(ISNUMBER(SEARCH("-"&amp;$B93&amp;"-"&amp;$C93&amp;"-","-"&amp;INDEX($H$73:$H$81,MATCH(M$84,$A$73:$A$81,0))&amp;"-")),1,0)</f>
        <v>0</v>
      </c>
      <c r="N93" s="6" t="n">
        <f aca="false">SUM(E93:M93)</f>
        <v>2</v>
      </c>
      <c r="O93" s="6" t="str">
        <f aca="false">IF(N93&gt;0,"Covered","NOT covered")</f>
        <v>Covered</v>
      </c>
    </row>
    <row r="94" customFormat="false" ht="15" hidden="false" customHeight="true" outlineLevel="0" collapsed="false">
      <c r="A94" s="6" t="str">
        <f aca="false">G45</f>
        <v>E10</v>
      </c>
      <c r="B94" s="6" t="n">
        <f aca="false">H45</f>
        <v>4</v>
      </c>
      <c r="C94" s="6" t="n">
        <f aca="false">I45</f>
        <v>10</v>
      </c>
      <c r="D94" s="6" t="str">
        <f aca="false">J45</f>
        <v>-</v>
      </c>
      <c r="E94" s="21" t="n">
        <f aca="false">IF(ISNUMBER(SEARCH("-"&amp;$B94&amp;"-"&amp;$C94&amp;"-","-"&amp;INDEX($H$73:$H$81,MATCH(E$84,$A$73:$A$81,0))&amp;"-")),1,0)</f>
        <v>0</v>
      </c>
      <c r="F94" s="21" t="n">
        <f aca="false">IF(ISNUMBER(SEARCH("-"&amp;$B94&amp;"-"&amp;$C94&amp;"-","-"&amp;INDEX($H$73:$H$81,MATCH(F$84,$A$73:$A$81,0))&amp;"-")),1,0)</f>
        <v>0</v>
      </c>
      <c r="G94" s="21" t="n">
        <f aca="false">IF(ISNUMBER(SEARCH("-"&amp;$B94&amp;"-"&amp;$C94&amp;"-","-"&amp;INDEX($H$73:$H$81,MATCH(G$84,$A$73:$A$81,0))&amp;"-")),1,0)</f>
        <v>1</v>
      </c>
      <c r="H94" s="21" t="n">
        <f aca="false">IF(ISNUMBER(SEARCH("-"&amp;$B94&amp;"-"&amp;$C94&amp;"-","-"&amp;INDEX($H$73:$H$81,MATCH(H$84,$A$73:$A$81,0))&amp;"-")),1,0)</f>
        <v>0</v>
      </c>
      <c r="I94" s="21" t="n">
        <f aca="false">IF(ISNUMBER(SEARCH("-"&amp;$B94&amp;"-"&amp;$C94&amp;"-","-"&amp;INDEX($H$73:$H$81,MATCH(I$84,$A$73:$A$81,0))&amp;"-")),1,0)</f>
        <v>0</v>
      </c>
      <c r="J94" s="21" t="n">
        <f aca="false">IF(ISNUMBER(SEARCH("-"&amp;$B94&amp;"-"&amp;$C94&amp;"-","-"&amp;INDEX($H$73:$H$81,MATCH(J$84,$A$73:$A$81,0))&amp;"-")),1,0)</f>
        <v>0</v>
      </c>
      <c r="K94" s="21" t="n">
        <f aca="false">IF(ISNUMBER(SEARCH("-"&amp;$B94&amp;"-"&amp;$C94&amp;"-","-"&amp;INDEX($H$73:$H$81,MATCH(K$84,$A$73:$A$81,0))&amp;"-")),1,0)</f>
        <v>1</v>
      </c>
      <c r="L94" s="21" t="n">
        <f aca="false">IF(ISNUMBER(SEARCH("-"&amp;$B94&amp;"-"&amp;$C94&amp;"-","-"&amp;INDEX($H$73:$H$81,MATCH(L$84,$A$73:$A$81,0))&amp;"-")),1,0)</f>
        <v>0</v>
      </c>
      <c r="M94" s="21" t="n">
        <f aca="false">IF(ISNUMBER(SEARCH("-"&amp;$B94&amp;"-"&amp;$C94&amp;"-","-"&amp;INDEX($H$73:$H$81,MATCH(M$84,$A$73:$A$81,0))&amp;"-")),1,0)</f>
        <v>0</v>
      </c>
      <c r="N94" s="6" t="n">
        <f aca="false">SUM(E94:M94)</f>
        <v>2</v>
      </c>
      <c r="O94" s="6" t="str">
        <f aca="false">IF(N94&gt;0,"Covered","NOT covered")</f>
        <v>Covered</v>
      </c>
    </row>
    <row r="95" customFormat="false" ht="15" hidden="false" customHeight="true" outlineLevel="0" collapsed="false">
      <c r="A95" s="6" t="str">
        <f aca="false">G46</f>
        <v>E11</v>
      </c>
      <c r="B95" s="6" t="n">
        <f aca="false">H46</f>
        <v>6</v>
      </c>
      <c r="C95" s="6" t="n">
        <f aca="false">I46</f>
        <v>10</v>
      </c>
      <c r="D95" s="6" t="str">
        <f aca="false">J46</f>
        <v>-</v>
      </c>
      <c r="E95" s="21" t="n">
        <f aca="false">IF(ISNUMBER(SEARCH("-"&amp;$B95&amp;"-"&amp;$C95&amp;"-","-"&amp;INDEX($H$73:$H$81,MATCH(E$84,$A$73:$A$81,0))&amp;"-")),1,0)</f>
        <v>0</v>
      </c>
      <c r="F95" s="21" t="n">
        <f aca="false">IF(ISNUMBER(SEARCH("-"&amp;$B95&amp;"-"&amp;$C95&amp;"-","-"&amp;INDEX($H$73:$H$81,MATCH(F$84,$A$73:$A$81,0))&amp;"-")),1,0)</f>
        <v>0</v>
      </c>
      <c r="G95" s="21" t="n">
        <f aca="false">IF(ISNUMBER(SEARCH("-"&amp;$B95&amp;"-"&amp;$C95&amp;"-","-"&amp;INDEX($H$73:$H$81,MATCH(G$84,$A$73:$A$81,0))&amp;"-")),1,0)</f>
        <v>0</v>
      </c>
      <c r="H95" s="21" t="n">
        <f aca="false">IF(ISNUMBER(SEARCH("-"&amp;$B95&amp;"-"&amp;$C95&amp;"-","-"&amp;INDEX($H$73:$H$81,MATCH(H$84,$A$73:$A$81,0))&amp;"-")),1,0)</f>
        <v>1</v>
      </c>
      <c r="I95" s="21" t="n">
        <f aca="false">IF(ISNUMBER(SEARCH("-"&amp;$B95&amp;"-"&amp;$C95&amp;"-","-"&amp;INDEX($H$73:$H$81,MATCH(I$84,$A$73:$A$81,0))&amp;"-")),1,0)</f>
        <v>0</v>
      </c>
      <c r="J95" s="21" t="n">
        <f aca="false">IF(ISNUMBER(SEARCH("-"&amp;$B95&amp;"-"&amp;$C95&amp;"-","-"&amp;INDEX($H$73:$H$81,MATCH(J$84,$A$73:$A$81,0))&amp;"-")),1,0)</f>
        <v>0</v>
      </c>
      <c r="K95" s="21" t="n">
        <f aca="false">IF(ISNUMBER(SEARCH("-"&amp;$B95&amp;"-"&amp;$C95&amp;"-","-"&amp;INDEX($H$73:$H$81,MATCH(K$84,$A$73:$A$81,0))&amp;"-")),1,0)</f>
        <v>0</v>
      </c>
      <c r="L95" s="21" t="n">
        <f aca="false">IF(ISNUMBER(SEARCH("-"&amp;$B95&amp;"-"&amp;$C95&amp;"-","-"&amp;INDEX($H$73:$H$81,MATCH(L$84,$A$73:$A$81,0))&amp;"-")),1,0)</f>
        <v>0</v>
      </c>
      <c r="M95" s="21" t="n">
        <f aca="false">IF(ISNUMBER(SEARCH("-"&amp;$B95&amp;"-"&amp;$C95&amp;"-","-"&amp;INDEX($H$73:$H$81,MATCH(M$84,$A$73:$A$81,0))&amp;"-")),1,0)</f>
        <v>1</v>
      </c>
      <c r="N95" s="6" t="n">
        <f aca="false">SUM(E95:M95)</f>
        <v>2</v>
      </c>
      <c r="O95" s="6" t="str">
        <f aca="false">IF(N95&gt;0,"Covered","NOT covered")</f>
        <v>Covered</v>
      </c>
    </row>
    <row r="96" customFormat="false" ht="15" hidden="false" customHeight="true" outlineLevel="0" collapsed="false">
      <c r="A96" s="6" t="str">
        <f aca="false">G47</f>
        <v>E12</v>
      </c>
      <c r="B96" s="6" t="n">
        <f aca="false">H47</f>
        <v>8</v>
      </c>
      <c r="C96" s="6" t="n">
        <f aca="false">I47</f>
        <v>10</v>
      </c>
      <c r="D96" s="6" t="str">
        <f aca="false">J47</f>
        <v>-</v>
      </c>
      <c r="E96" s="21" t="n">
        <f aca="false">IF(ISNUMBER(SEARCH("-"&amp;$B96&amp;"-"&amp;$C96&amp;"-","-"&amp;INDEX($H$73:$H$81,MATCH(E$84,$A$73:$A$81,0))&amp;"-")),1,0)</f>
        <v>0</v>
      </c>
      <c r="F96" s="21" t="n">
        <f aca="false">IF(ISNUMBER(SEARCH("-"&amp;$B96&amp;"-"&amp;$C96&amp;"-","-"&amp;INDEX($H$73:$H$81,MATCH(F$84,$A$73:$A$81,0))&amp;"-")),1,0)</f>
        <v>0</v>
      </c>
      <c r="G96" s="21" t="n">
        <f aca="false">IF(ISNUMBER(SEARCH("-"&amp;$B96&amp;"-"&amp;$C96&amp;"-","-"&amp;INDEX($H$73:$H$81,MATCH(G$84,$A$73:$A$81,0))&amp;"-")),1,0)</f>
        <v>0</v>
      </c>
      <c r="H96" s="21" t="n">
        <f aca="false">IF(ISNUMBER(SEARCH("-"&amp;$B96&amp;"-"&amp;$C96&amp;"-","-"&amp;INDEX($H$73:$H$81,MATCH(H$84,$A$73:$A$81,0))&amp;"-")),1,0)</f>
        <v>0</v>
      </c>
      <c r="I96" s="21" t="n">
        <f aca="false">IF(ISNUMBER(SEARCH("-"&amp;$B96&amp;"-"&amp;$C96&amp;"-","-"&amp;INDEX($H$73:$H$81,MATCH(I$84,$A$73:$A$81,0))&amp;"-")),1,0)</f>
        <v>1</v>
      </c>
      <c r="J96" s="21" t="n">
        <f aca="false">IF(ISNUMBER(SEARCH("-"&amp;$B96&amp;"-"&amp;$C96&amp;"-","-"&amp;INDEX($H$73:$H$81,MATCH(J$84,$A$73:$A$81,0))&amp;"-")),1,0)</f>
        <v>0</v>
      </c>
      <c r="K96" s="21" t="n">
        <f aca="false">IF(ISNUMBER(SEARCH("-"&amp;$B96&amp;"-"&amp;$C96&amp;"-","-"&amp;INDEX($H$73:$H$81,MATCH(K$84,$A$73:$A$81,0))&amp;"-")),1,0)</f>
        <v>0</v>
      </c>
      <c r="L96" s="21" t="n">
        <f aca="false">IF(ISNUMBER(SEARCH("-"&amp;$B96&amp;"-"&amp;$C96&amp;"-","-"&amp;INDEX($H$73:$H$81,MATCH(L$84,$A$73:$A$81,0))&amp;"-")),1,0)</f>
        <v>0</v>
      </c>
      <c r="M96" s="21" t="n">
        <f aca="false">IF(ISNUMBER(SEARCH("-"&amp;$B96&amp;"-"&amp;$C96&amp;"-","-"&amp;INDEX($H$73:$H$81,MATCH(M$84,$A$73:$A$81,0))&amp;"-")),1,0)</f>
        <v>0</v>
      </c>
      <c r="N96" s="6" t="n">
        <f aca="false">SUM(E96:M96)</f>
        <v>1</v>
      </c>
      <c r="O96" s="6" t="str">
        <f aca="false">IF(N96&gt;0,"Covered","NOT covered")</f>
        <v>Covered</v>
      </c>
    </row>
    <row r="97" customFormat="false" ht="15" hidden="false" customHeight="true" outlineLevel="0" collapsed="false">
      <c r="A97" s="6" t="str">
        <f aca="false">G48</f>
        <v>E13</v>
      </c>
      <c r="B97" s="6" t="n">
        <f aca="false">H48</f>
        <v>9</v>
      </c>
      <c r="C97" s="6" t="n">
        <f aca="false">I48</f>
        <v>10</v>
      </c>
      <c r="D97" s="6" t="str">
        <f aca="false">J48</f>
        <v>-</v>
      </c>
      <c r="E97" s="21" t="n">
        <f aca="false">IF(ISNUMBER(SEARCH("-"&amp;$B97&amp;"-"&amp;$C97&amp;"-","-"&amp;INDEX($H$73:$H$81,MATCH(E$84,$A$73:$A$81,0))&amp;"-")),1,0)</f>
        <v>1</v>
      </c>
      <c r="F97" s="21" t="n">
        <f aca="false">IF(ISNUMBER(SEARCH("-"&amp;$B97&amp;"-"&amp;$C97&amp;"-","-"&amp;INDEX($H$73:$H$81,MATCH(F$84,$A$73:$A$81,0))&amp;"-")),1,0)</f>
        <v>0</v>
      </c>
      <c r="G97" s="21" t="n">
        <f aca="false">IF(ISNUMBER(SEARCH("-"&amp;$B97&amp;"-"&amp;$C97&amp;"-","-"&amp;INDEX($H$73:$H$81,MATCH(G$84,$A$73:$A$81,0))&amp;"-")),1,0)</f>
        <v>0</v>
      </c>
      <c r="H97" s="21" t="n">
        <f aca="false">IF(ISNUMBER(SEARCH("-"&amp;$B97&amp;"-"&amp;$C97&amp;"-","-"&amp;INDEX($H$73:$H$81,MATCH(H$84,$A$73:$A$81,0))&amp;"-")),1,0)</f>
        <v>0</v>
      </c>
      <c r="I97" s="21" t="n">
        <f aca="false">IF(ISNUMBER(SEARCH("-"&amp;$B97&amp;"-"&amp;$C97&amp;"-","-"&amp;INDEX($H$73:$H$81,MATCH(I$84,$A$73:$A$81,0))&amp;"-")),1,0)</f>
        <v>0</v>
      </c>
      <c r="J97" s="21" t="n">
        <f aca="false">IF(ISNUMBER(SEARCH("-"&amp;$B97&amp;"-"&amp;$C97&amp;"-","-"&amp;INDEX($H$73:$H$81,MATCH(J$84,$A$73:$A$81,0))&amp;"-")),1,0)</f>
        <v>0</v>
      </c>
      <c r="K97" s="21" t="n">
        <f aca="false">IF(ISNUMBER(SEARCH("-"&amp;$B97&amp;"-"&amp;$C97&amp;"-","-"&amp;INDEX($H$73:$H$81,MATCH(K$84,$A$73:$A$81,0))&amp;"-")),1,0)</f>
        <v>0</v>
      </c>
      <c r="L97" s="21" t="n">
        <f aca="false">IF(ISNUMBER(SEARCH("-"&amp;$B97&amp;"-"&amp;$C97&amp;"-","-"&amp;INDEX($H$73:$H$81,MATCH(L$84,$A$73:$A$81,0))&amp;"-")),1,0)</f>
        <v>1</v>
      </c>
      <c r="M97" s="21" t="n">
        <f aca="false">IF(ISNUMBER(SEARCH("-"&amp;$B97&amp;"-"&amp;$C97&amp;"-","-"&amp;INDEX($H$73:$H$81,MATCH(M$84,$A$73:$A$81,0))&amp;"-")),1,0)</f>
        <v>0</v>
      </c>
      <c r="N97" s="6" t="n">
        <f aca="false">SUM(E97:M97)</f>
        <v>2</v>
      </c>
      <c r="O97" s="6" t="str">
        <f aca="false">IF(N97&gt;0,"Covered","NOT covered")</f>
        <v>Covered</v>
      </c>
    </row>
    <row r="99" customFormat="false" ht="15" hidden="false" customHeight="false" outlineLevel="0" collapsed="false">
      <c r="A99" s="5" t="s">
        <v>54</v>
      </c>
      <c r="B99" s="5" t="s">
        <v>73</v>
      </c>
      <c r="C99" s="5"/>
      <c r="D99" s="5"/>
      <c r="E99" s="5" t="s">
        <v>167</v>
      </c>
      <c r="F99" s="5" t="s">
        <v>170</v>
      </c>
      <c r="G99" s="5" t="s">
        <v>174</v>
      </c>
      <c r="H99" s="5" t="s">
        <v>177</v>
      </c>
      <c r="I99" s="5" t="s">
        <v>180</v>
      </c>
      <c r="J99" s="5" t="s">
        <v>183</v>
      </c>
      <c r="K99" s="5" t="s">
        <v>186</v>
      </c>
      <c r="L99" s="5" t="s">
        <v>189</v>
      </c>
      <c r="M99" s="5" t="s">
        <v>250</v>
      </c>
      <c r="N99" s="5" t="s">
        <v>193</v>
      </c>
      <c r="O99" s="5" t="s">
        <v>165</v>
      </c>
    </row>
    <row r="100" customFormat="false" ht="15" hidden="false" customHeight="true" outlineLevel="0" collapsed="false">
      <c r="A100" s="6" t="n">
        <f aca="false">A36</f>
        <v>1</v>
      </c>
      <c r="B100" s="6" t="str">
        <f aca="false">C36</f>
        <v>Decision</v>
      </c>
      <c r="C100" s="22"/>
      <c r="D100" s="22"/>
      <c r="E100" s="21" t="n">
        <f aca="false">IF(ISNUMBER(SEARCH("-"&amp;$A100&amp;"-","-"&amp;INDEX($H$73:$H$81,MATCH(E$99,$A$73:$A$81,0))&amp;"-")),1,0)</f>
        <v>1</v>
      </c>
      <c r="F100" s="21" t="n">
        <f aca="false">IF(ISNUMBER(SEARCH("-"&amp;$A100&amp;"-","-"&amp;INDEX($H$73:$H$81,MATCH(F$99,$A$73:$A$81,0))&amp;"-")),1,0)</f>
        <v>1</v>
      </c>
      <c r="G100" s="21" t="n">
        <f aca="false">IF(ISNUMBER(SEARCH("-"&amp;$A100&amp;"-","-"&amp;INDEX($H$73:$H$81,MATCH(G$99,$A$73:$A$81,0))&amp;"-")),1,0)</f>
        <v>1</v>
      </c>
      <c r="H100" s="21" t="n">
        <f aca="false">IF(ISNUMBER(SEARCH("-"&amp;$A100&amp;"-","-"&amp;INDEX($H$73:$H$81,MATCH(H$99,$A$73:$A$81,0))&amp;"-")),1,0)</f>
        <v>1</v>
      </c>
      <c r="I100" s="21" t="n">
        <f aca="false">IF(ISNUMBER(SEARCH("-"&amp;$A100&amp;"-","-"&amp;INDEX($H$73:$H$81,MATCH(I$99,$A$73:$A$81,0))&amp;"-")),1,0)</f>
        <v>1</v>
      </c>
      <c r="J100" s="21" t="n">
        <f aca="false">IF(ISNUMBER(SEARCH("-"&amp;$A100&amp;"-","-"&amp;INDEX($H$73:$H$81,MATCH(J$99,$A$73:$A$81,0))&amp;"-")),1,0)</f>
        <v>1</v>
      </c>
      <c r="K100" s="21" t="n">
        <f aca="false">IF(ISNUMBER(SEARCH("-"&amp;$A100&amp;"-","-"&amp;INDEX($H$73:$H$81,MATCH(K$99,$A$73:$A$81,0))&amp;"-")),1,0)</f>
        <v>1</v>
      </c>
      <c r="L100" s="21" t="n">
        <f aca="false">IF(ISNUMBER(SEARCH("-"&amp;$A100&amp;"-","-"&amp;INDEX($H$73:$H$81,MATCH(L$99,$A$73:$A$81,0))&amp;"-")),1,0)</f>
        <v>1</v>
      </c>
      <c r="M100" s="21" t="n">
        <f aca="false">IF(ISNUMBER(SEARCH("-"&amp;$A100&amp;"-","-"&amp;INDEX($H$73:$H$81,MATCH(M$99,$A$73:$A$81,0))&amp;"-")),1,0)</f>
        <v>1</v>
      </c>
      <c r="N100" s="6" t="n">
        <f aca="false">SUM(E100:M100)</f>
        <v>9</v>
      </c>
      <c r="O100" s="6" t="str">
        <f aca="false">IF(N100&gt;0,"Covered","NOT covered")</f>
        <v>Covered</v>
      </c>
    </row>
    <row r="101" customFormat="false" ht="15" hidden="false" customHeight="true" outlineLevel="0" collapsed="false">
      <c r="A101" s="6" t="n">
        <f aca="false">A37</f>
        <v>2</v>
      </c>
      <c r="B101" s="6" t="str">
        <f aca="false">C37</f>
        <v>Process</v>
      </c>
      <c r="C101" s="22"/>
      <c r="D101" s="22"/>
      <c r="E101" s="21" t="n">
        <f aca="false">IF(ISNUMBER(SEARCH("-"&amp;$A101&amp;"-","-"&amp;INDEX($H$73:$H$81,MATCH(E$99,$A$73:$A$81,0))&amp;"-")),1,0)</f>
        <v>0</v>
      </c>
      <c r="F101" s="21" t="n">
        <f aca="false">IF(ISNUMBER(SEARCH("-"&amp;$A101&amp;"-","-"&amp;INDEX($H$73:$H$81,MATCH(F$99,$A$73:$A$81,0))&amp;"-")),1,0)</f>
        <v>1</v>
      </c>
      <c r="G101" s="21" t="n">
        <f aca="false">IF(ISNUMBER(SEARCH("-"&amp;$A101&amp;"-","-"&amp;INDEX($H$73:$H$81,MATCH(G$99,$A$73:$A$81,0))&amp;"-")),1,0)</f>
        <v>0</v>
      </c>
      <c r="H101" s="21" t="n">
        <f aca="false">IF(ISNUMBER(SEARCH("-"&amp;$A101&amp;"-","-"&amp;INDEX($H$73:$H$81,MATCH(H$99,$A$73:$A$81,0))&amp;"-")),1,0)</f>
        <v>0</v>
      </c>
      <c r="I101" s="21" t="n">
        <f aca="false">IF(ISNUMBER(SEARCH("-"&amp;$A101&amp;"-","-"&amp;INDEX($H$73:$H$81,MATCH(I$99,$A$73:$A$81,0))&amp;"-")),1,0)</f>
        <v>0</v>
      </c>
      <c r="J101" s="21" t="n">
        <f aca="false">IF(ISNUMBER(SEARCH("-"&amp;$A101&amp;"-","-"&amp;INDEX($H$73:$H$81,MATCH(J$99,$A$73:$A$81,0))&amp;"-")),1,0)</f>
        <v>1</v>
      </c>
      <c r="K101" s="21" t="n">
        <f aca="false">IF(ISNUMBER(SEARCH("-"&amp;$A101&amp;"-","-"&amp;INDEX($H$73:$H$81,MATCH(K$99,$A$73:$A$81,0))&amp;"-")),1,0)</f>
        <v>0</v>
      </c>
      <c r="L101" s="21" t="n">
        <f aca="false">IF(ISNUMBER(SEARCH("-"&amp;$A101&amp;"-","-"&amp;INDEX($H$73:$H$81,MATCH(L$99,$A$73:$A$81,0))&amp;"-")),1,0)</f>
        <v>0</v>
      </c>
      <c r="M101" s="21" t="n">
        <f aca="false">IF(ISNUMBER(SEARCH("-"&amp;$A101&amp;"-","-"&amp;INDEX($H$73:$H$81,MATCH(M$99,$A$73:$A$81,0))&amp;"-")),1,0)</f>
        <v>0</v>
      </c>
      <c r="N101" s="6" t="n">
        <f aca="false">SUM(E101:M101)</f>
        <v>2</v>
      </c>
      <c r="O101" s="6" t="str">
        <f aca="false">IF(N101&gt;0,"Covered","NOT covered")</f>
        <v>Covered</v>
      </c>
    </row>
    <row r="102" customFormat="false" ht="15" hidden="false" customHeight="true" outlineLevel="0" collapsed="false">
      <c r="A102" s="6" t="n">
        <f aca="false">A38</f>
        <v>3</v>
      </c>
      <c r="B102" s="6" t="str">
        <f aca="false">C38</f>
        <v>Decision</v>
      </c>
      <c r="C102" s="22"/>
      <c r="D102" s="22"/>
      <c r="E102" s="21" t="n">
        <f aca="false">IF(ISNUMBER(SEARCH("-"&amp;$A102&amp;"-","-"&amp;INDEX($H$73:$H$81,MATCH(E$99,$A$73:$A$81,0))&amp;"-")),1,0)</f>
        <v>1</v>
      </c>
      <c r="F102" s="21" t="n">
        <f aca="false">IF(ISNUMBER(SEARCH("-"&amp;$A102&amp;"-","-"&amp;INDEX($H$73:$H$81,MATCH(F$99,$A$73:$A$81,0))&amp;"-")),1,0)</f>
        <v>0</v>
      </c>
      <c r="G102" s="21" t="n">
        <f aca="false">IF(ISNUMBER(SEARCH("-"&amp;$A102&amp;"-","-"&amp;INDEX($H$73:$H$81,MATCH(G$99,$A$73:$A$81,0))&amp;"-")),1,0)</f>
        <v>1</v>
      </c>
      <c r="H102" s="21" t="n">
        <f aca="false">IF(ISNUMBER(SEARCH("-"&amp;$A102&amp;"-","-"&amp;INDEX($H$73:$H$81,MATCH(H$99,$A$73:$A$81,0))&amp;"-")),1,0)</f>
        <v>1</v>
      </c>
      <c r="I102" s="21" t="n">
        <f aca="false">IF(ISNUMBER(SEARCH("-"&amp;$A102&amp;"-","-"&amp;INDEX($H$73:$H$81,MATCH(I$99,$A$73:$A$81,0))&amp;"-")),1,0)</f>
        <v>1</v>
      </c>
      <c r="J102" s="21" t="n">
        <f aca="false">IF(ISNUMBER(SEARCH("-"&amp;$A102&amp;"-","-"&amp;INDEX($H$73:$H$81,MATCH(J$99,$A$73:$A$81,0))&amp;"-")),1,0)</f>
        <v>0</v>
      </c>
      <c r="K102" s="21" t="n">
        <f aca="false">IF(ISNUMBER(SEARCH("-"&amp;$A102&amp;"-","-"&amp;INDEX($H$73:$H$81,MATCH(K$99,$A$73:$A$81,0))&amp;"-")),1,0)</f>
        <v>1</v>
      </c>
      <c r="L102" s="21" t="n">
        <f aca="false">IF(ISNUMBER(SEARCH("-"&amp;$A102&amp;"-","-"&amp;INDEX($H$73:$H$81,MATCH(L$99,$A$73:$A$81,0))&amp;"-")),1,0)</f>
        <v>1</v>
      </c>
      <c r="M102" s="21" t="n">
        <f aca="false">IF(ISNUMBER(SEARCH("-"&amp;$A102&amp;"-","-"&amp;INDEX($H$73:$H$81,MATCH(M$99,$A$73:$A$81,0))&amp;"-")),1,0)</f>
        <v>1</v>
      </c>
      <c r="N102" s="6" t="n">
        <f aca="false">SUM(E102:M102)</f>
        <v>7</v>
      </c>
      <c r="O102" s="6" t="str">
        <f aca="false">IF(N102&gt;0,"Covered","NOT covered")</f>
        <v>Covered</v>
      </c>
    </row>
    <row r="103" customFormat="false" ht="15" hidden="false" customHeight="true" outlineLevel="0" collapsed="false">
      <c r="A103" s="6" t="n">
        <f aca="false">A39</f>
        <v>4</v>
      </c>
      <c r="B103" s="6" t="str">
        <f aca="false">C39</f>
        <v>Process</v>
      </c>
      <c r="C103" s="22"/>
      <c r="D103" s="22"/>
      <c r="E103" s="21" t="n">
        <f aca="false">IF(ISNUMBER(SEARCH("-"&amp;$A103&amp;"-","-"&amp;INDEX($H$73:$H$81,MATCH(E$99,$A$73:$A$81,0))&amp;"-")),1,0)</f>
        <v>0</v>
      </c>
      <c r="F103" s="21" t="n">
        <f aca="false">IF(ISNUMBER(SEARCH("-"&amp;$A103&amp;"-","-"&amp;INDEX($H$73:$H$81,MATCH(F$99,$A$73:$A$81,0))&amp;"-")),1,0)</f>
        <v>0</v>
      </c>
      <c r="G103" s="21" t="n">
        <f aca="false">IF(ISNUMBER(SEARCH("-"&amp;$A103&amp;"-","-"&amp;INDEX($H$73:$H$81,MATCH(G$99,$A$73:$A$81,0))&amp;"-")),1,0)</f>
        <v>1</v>
      </c>
      <c r="H103" s="21" t="n">
        <f aca="false">IF(ISNUMBER(SEARCH("-"&amp;$A103&amp;"-","-"&amp;INDEX($H$73:$H$81,MATCH(H$99,$A$73:$A$81,0))&amp;"-")),1,0)</f>
        <v>0</v>
      </c>
      <c r="I103" s="21" t="n">
        <f aca="false">IF(ISNUMBER(SEARCH("-"&amp;$A103&amp;"-","-"&amp;INDEX($H$73:$H$81,MATCH(I$99,$A$73:$A$81,0))&amp;"-")),1,0)</f>
        <v>0</v>
      </c>
      <c r="J103" s="21" t="n">
        <f aca="false">IF(ISNUMBER(SEARCH("-"&amp;$A103&amp;"-","-"&amp;INDEX($H$73:$H$81,MATCH(J$99,$A$73:$A$81,0))&amp;"-")),1,0)</f>
        <v>0</v>
      </c>
      <c r="K103" s="21" t="n">
        <f aca="false">IF(ISNUMBER(SEARCH("-"&amp;$A103&amp;"-","-"&amp;INDEX($H$73:$H$81,MATCH(K$99,$A$73:$A$81,0))&amp;"-")),1,0)</f>
        <v>1</v>
      </c>
      <c r="L103" s="21" t="n">
        <f aca="false">IF(ISNUMBER(SEARCH("-"&amp;$A103&amp;"-","-"&amp;INDEX($H$73:$H$81,MATCH(L$99,$A$73:$A$81,0))&amp;"-")),1,0)</f>
        <v>0</v>
      </c>
      <c r="M103" s="21" t="n">
        <f aca="false">IF(ISNUMBER(SEARCH("-"&amp;$A103&amp;"-","-"&amp;INDEX($H$73:$H$81,MATCH(M$99,$A$73:$A$81,0))&amp;"-")),1,0)</f>
        <v>0</v>
      </c>
      <c r="N103" s="6" t="n">
        <f aca="false">SUM(E103:M103)</f>
        <v>2</v>
      </c>
      <c r="O103" s="6" t="str">
        <f aca="false">IF(N103&gt;0,"Covered","NOT covered")</f>
        <v>Covered</v>
      </c>
    </row>
    <row r="104" customFormat="false" ht="15" hidden="false" customHeight="true" outlineLevel="0" collapsed="false">
      <c r="A104" s="6" t="n">
        <f aca="false">A40</f>
        <v>5</v>
      </c>
      <c r="B104" s="6" t="str">
        <f aca="false">C40</f>
        <v>Decision</v>
      </c>
      <c r="C104" s="22"/>
      <c r="D104" s="22"/>
      <c r="E104" s="21" t="n">
        <f aca="false">IF(ISNUMBER(SEARCH("-"&amp;$A104&amp;"-","-"&amp;INDEX($H$73:$H$81,MATCH(E$99,$A$73:$A$81,0))&amp;"-")),1,0)</f>
        <v>1</v>
      </c>
      <c r="F104" s="21" t="n">
        <f aca="false">IF(ISNUMBER(SEARCH("-"&amp;$A104&amp;"-","-"&amp;INDEX($H$73:$H$81,MATCH(F$99,$A$73:$A$81,0))&amp;"-")),1,0)</f>
        <v>0</v>
      </c>
      <c r="G104" s="21" t="n">
        <f aca="false">IF(ISNUMBER(SEARCH("-"&amp;$A104&amp;"-","-"&amp;INDEX($H$73:$H$81,MATCH(G$99,$A$73:$A$81,0))&amp;"-")),1,0)</f>
        <v>0</v>
      </c>
      <c r="H104" s="21" t="n">
        <f aca="false">IF(ISNUMBER(SEARCH("-"&amp;$A104&amp;"-","-"&amp;INDEX($H$73:$H$81,MATCH(H$99,$A$73:$A$81,0))&amp;"-")),1,0)</f>
        <v>1</v>
      </c>
      <c r="I104" s="21" t="n">
        <f aca="false">IF(ISNUMBER(SEARCH("-"&amp;$A104&amp;"-","-"&amp;INDEX($H$73:$H$81,MATCH(I$99,$A$73:$A$81,0))&amp;"-")),1,0)</f>
        <v>1</v>
      </c>
      <c r="J104" s="21" t="n">
        <f aca="false">IF(ISNUMBER(SEARCH("-"&amp;$A104&amp;"-","-"&amp;INDEX($H$73:$H$81,MATCH(J$99,$A$73:$A$81,0))&amp;"-")),1,0)</f>
        <v>0</v>
      </c>
      <c r="K104" s="21" t="n">
        <f aca="false">IF(ISNUMBER(SEARCH("-"&amp;$A104&amp;"-","-"&amp;INDEX($H$73:$H$81,MATCH(K$99,$A$73:$A$81,0))&amp;"-")),1,0)</f>
        <v>0</v>
      </c>
      <c r="L104" s="21" t="n">
        <f aca="false">IF(ISNUMBER(SEARCH("-"&amp;$A104&amp;"-","-"&amp;INDEX($H$73:$H$81,MATCH(L$99,$A$73:$A$81,0))&amp;"-")),1,0)</f>
        <v>1</v>
      </c>
      <c r="M104" s="21" t="n">
        <f aca="false">IF(ISNUMBER(SEARCH("-"&amp;$A104&amp;"-","-"&amp;INDEX($H$73:$H$81,MATCH(M$99,$A$73:$A$81,0))&amp;"-")),1,0)</f>
        <v>1</v>
      </c>
      <c r="N104" s="6" t="n">
        <f aca="false">SUM(E104:M104)</f>
        <v>5</v>
      </c>
      <c r="O104" s="6" t="str">
        <f aca="false">IF(N104&gt;0,"Covered","NOT covered")</f>
        <v>Covered</v>
      </c>
    </row>
    <row r="105" customFormat="false" ht="15" hidden="false" customHeight="true" outlineLevel="0" collapsed="false">
      <c r="A105" s="6" t="n">
        <f aca="false">A41</f>
        <v>6</v>
      </c>
      <c r="B105" s="6" t="str">
        <f aca="false">C41</f>
        <v>Process</v>
      </c>
      <c r="C105" s="22"/>
      <c r="D105" s="22"/>
      <c r="E105" s="21" t="n">
        <f aca="false">IF(ISNUMBER(SEARCH("-"&amp;$A105&amp;"-","-"&amp;INDEX($H$73:$H$81,MATCH(E$99,$A$73:$A$81,0))&amp;"-")),1,0)</f>
        <v>0</v>
      </c>
      <c r="F105" s="21" t="n">
        <f aca="false">IF(ISNUMBER(SEARCH("-"&amp;$A105&amp;"-","-"&amp;INDEX($H$73:$H$81,MATCH(F$99,$A$73:$A$81,0))&amp;"-")),1,0)</f>
        <v>0</v>
      </c>
      <c r="G105" s="21" t="n">
        <f aca="false">IF(ISNUMBER(SEARCH("-"&amp;$A105&amp;"-","-"&amp;INDEX($H$73:$H$81,MATCH(G$99,$A$73:$A$81,0))&amp;"-")),1,0)</f>
        <v>0</v>
      </c>
      <c r="H105" s="21" t="n">
        <f aca="false">IF(ISNUMBER(SEARCH("-"&amp;$A105&amp;"-","-"&amp;INDEX($H$73:$H$81,MATCH(H$99,$A$73:$A$81,0))&amp;"-")),1,0)</f>
        <v>1</v>
      </c>
      <c r="I105" s="21" t="n">
        <f aca="false">IF(ISNUMBER(SEARCH("-"&amp;$A105&amp;"-","-"&amp;INDEX($H$73:$H$81,MATCH(I$99,$A$73:$A$81,0))&amp;"-")),1,0)</f>
        <v>0</v>
      </c>
      <c r="J105" s="21" t="n">
        <f aca="false">IF(ISNUMBER(SEARCH("-"&amp;$A105&amp;"-","-"&amp;INDEX($H$73:$H$81,MATCH(J$99,$A$73:$A$81,0))&amp;"-")),1,0)</f>
        <v>0</v>
      </c>
      <c r="K105" s="21" t="n">
        <f aca="false">IF(ISNUMBER(SEARCH("-"&amp;$A105&amp;"-","-"&amp;INDEX($H$73:$H$81,MATCH(K$99,$A$73:$A$81,0))&amp;"-")),1,0)</f>
        <v>0</v>
      </c>
      <c r="L105" s="21" t="n">
        <f aca="false">IF(ISNUMBER(SEARCH("-"&amp;$A105&amp;"-","-"&amp;INDEX($H$73:$H$81,MATCH(L$99,$A$73:$A$81,0))&amp;"-")),1,0)</f>
        <v>0</v>
      </c>
      <c r="M105" s="21" t="n">
        <f aca="false">IF(ISNUMBER(SEARCH("-"&amp;$A105&amp;"-","-"&amp;INDEX($H$73:$H$81,MATCH(M$99,$A$73:$A$81,0))&amp;"-")),1,0)</f>
        <v>1</v>
      </c>
      <c r="N105" s="6" t="n">
        <f aca="false">SUM(E105:M105)</f>
        <v>2</v>
      </c>
      <c r="O105" s="6" t="str">
        <f aca="false">IF(N105&gt;0,"Covered","NOT covered")</f>
        <v>Covered</v>
      </c>
    </row>
    <row r="106" customFormat="false" ht="15" hidden="false" customHeight="true" outlineLevel="0" collapsed="false">
      <c r="A106" s="6" t="n">
        <f aca="false">A42</f>
        <v>7</v>
      </c>
      <c r="B106" s="6" t="str">
        <f aca="false">C42</f>
        <v>Decision</v>
      </c>
      <c r="C106" s="22"/>
      <c r="D106" s="22"/>
      <c r="E106" s="21" t="n">
        <f aca="false">IF(ISNUMBER(SEARCH("-"&amp;$A106&amp;"-","-"&amp;INDEX($H$73:$H$81,MATCH(E$99,$A$73:$A$81,0))&amp;"-")),1,0)</f>
        <v>1</v>
      </c>
      <c r="F106" s="21" t="n">
        <f aca="false">IF(ISNUMBER(SEARCH("-"&amp;$A106&amp;"-","-"&amp;INDEX($H$73:$H$81,MATCH(F$99,$A$73:$A$81,0))&amp;"-")),1,0)</f>
        <v>0</v>
      </c>
      <c r="G106" s="21" t="n">
        <f aca="false">IF(ISNUMBER(SEARCH("-"&amp;$A106&amp;"-","-"&amp;INDEX($H$73:$H$81,MATCH(G$99,$A$73:$A$81,0))&amp;"-")),1,0)</f>
        <v>0</v>
      </c>
      <c r="H106" s="21" t="n">
        <f aca="false">IF(ISNUMBER(SEARCH("-"&amp;$A106&amp;"-","-"&amp;INDEX($H$73:$H$81,MATCH(H$99,$A$73:$A$81,0))&amp;"-")),1,0)</f>
        <v>0</v>
      </c>
      <c r="I106" s="21" t="n">
        <f aca="false">IF(ISNUMBER(SEARCH("-"&amp;$A106&amp;"-","-"&amp;INDEX($H$73:$H$81,MATCH(I$99,$A$73:$A$81,0))&amp;"-")),1,0)</f>
        <v>1</v>
      </c>
      <c r="J106" s="21" t="n">
        <f aca="false">IF(ISNUMBER(SEARCH("-"&amp;$A106&amp;"-","-"&amp;INDEX($H$73:$H$81,MATCH(J$99,$A$73:$A$81,0))&amp;"-")),1,0)</f>
        <v>0</v>
      </c>
      <c r="K106" s="21" t="n">
        <f aca="false">IF(ISNUMBER(SEARCH("-"&amp;$A106&amp;"-","-"&amp;INDEX($H$73:$H$81,MATCH(K$99,$A$73:$A$81,0))&amp;"-")),1,0)</f>
        <v>0</v>
      </c>
      <c r="L106" s="21" t="n">
        <f aca="false">IF(ISNUMBER(SEARCH("-"&amp;$A106&amp;"-","-"&amp;INDEX($H$73:$H$81,MATCH(L$99,$A$73:$A$81,0))&amp;"-")),1,0)</f>
        <v>1</v>
      </c>
      <c r="M106" s="21" t="n">
        <f aca="false">IF(ISNUMBER(SEARCH("-"&amp;$A106&amp;"-","-"&amp;INDEX($H$73:$H$81,MATCH(M$99,$A$73:$A$81,0))&amp;"-")),1,0)</f>
        <v>0</v>
      </c>
      <c r="N106" s="6" t="n">
        <f aca="false">SUM(E106:M106)</f>
        <v>3</v>
      </c>
      <c r="O106" s="6" t="str">
        <f aca="false">IF(N106&gt;0,"Covered","NOT covered")</f>
        <v>Covered</v>
      </c>
    </row>
    <row r="107" customFormat="false" ht="15" hidden="false" customHeight="true" outlineLevel="0" collapsed="false">
      <c r="A107" s="6" t="n">
        <f aca="false">A43</f>
        <v>8</v>
      </c>
      <c r="B107" s="6" t="str">
        <f aca="false">C43</f>
        <v>Process</v>
      </c>
      <c r="C107" s="22"/>
      <c r="D107" s="22"/>
      <c r="E107" s="21" t="n">
        <f aca="false">IF(ISNUMBER(SEARCH("-"&amp;$A107&amp;"-","-"&amp;INDEX($H$73:$H$81,MATCH(E$99,$A$73:$A$81,0))&amp;"-")),1,0)</f>
        <v>0</v>
      </c>
      <c r="F107" s="21" t="n">
        <f aca="false">IF(ISNUMBER(SEARCH("-"&amp;$A107&amp;"-","-"&amp;INDEX($H$73:$H$81,MATCH(F$99,$A$73:$A$81,0))&amp;"-")),1,0)</f>
        <v>0</v>
      </c>
      <c r="G107" s="21" t="n">
        <f aca="false">IF(ISNUMBER(SEARCH("-"&amp;$A107&amp;"-","-"&amp;INDEX($H$73:$H$81,MATCH(G$99,$A$73:$A$81,0))&amp;"-")),1,0)</f>
        <v>0</v>
      </c>
      <c r="H107" s="21" t="n">
        <f aca="false">IF(ISNUMBER(SEARCH("-"&amp;$A107&amp;"-","-"&amp;INDEX($H$73:$H$81,MATCH(H$99,$A$73:$A$81,0))&amp;"-")),1,0)</f>
        <v>0</v>
      </c>
      <c r="I107" s="21" t="n">
        <f aca="false">IF(ISNUMBER(SEARCH("-"&amp;$A107&amp;"-","-"&amp;INDEX($H$73:$H$81,MATCH(I$99,$A$73:$A$81,0))&amp;"-")),1,0)</f>
        <v>1</v>
      </c>
      <c r="J107" s="21" t="n">
        <f aca="false">IF(ISNUMBER(SEARCH("-"&amp;$A107&amp;"-","-"&amp;INDEX($H$73:$H$81,MATCH(J$99,$A$73:$A$81,0))&amp;"-")),1,0)</f>
        <v>0</v>
      </c>
      <c r="K107" s="21" t="n">
        <f aca="false">IF(ISNUMBER(SEARCH("-"&amp;$A107&amp;"-","-"&amp;INDEX($H$73:$H$81,MATCH(K$99,$A$73:$A$81,0))&amp;"-")),1,0)</f>
        <v>0</v>
      </c>
      <c r="L107" s="21" t="n">
        <f aca="false">IF(ISNUMBER(SEARCH("-"&amp;$A107&amp;"-","-"&amp;INDEX($H$73:$H$81,MATCH(L$99,$A$73:$A$81,0))&amp;"-")),1,0)</f>
        <v>0</v>
      </c>
      <c r="M107" s="21" t="n">
        <f aca="false">IF(ISNUMBER(SEARCH("-"&amp;$A107&amp;"-","-"&amp;INDEX($H$73:$H$81,MATCH(M$99,$A$73:$A$81,0))&amp;"-")),1,0)</f>
        <v>0</v>
      </c>
      <c r="N107" s="6" t="n">
        <f aca="false">SUM(E107:M107)</f>
        <v>1</v>
      </c>
      <c r="O107" s="6" t="str">
        <f aca="false">IF(N107&gt;0,"Covered","NOT covered")</f>
        <v>Covered</v>
      </c>
    </row>
    <row r="108" customFormat="false" ht="15" hidden="false" customHeight="true" outlineLevel="0" collapsed="false">
      <c r="A108" s="6" t="n">
        <f aca="false">A44</f>
        <v>9</v>
      </c>
      <c r="B108" s="6" t="str">
        <f aca="false">C44</f>
        <v>Process</v>
      </c>
      <c r="C108" s="22"/>
      <c r="D108" s="22"/>
      <c r="E108" s="21" t="n">
        <f aca="false">IF(ISNUMBER(SEARCH("-"&amp;$A108&amp;"-","-"&amp;INDEX($H$73:$H$81,MATCH(E$99,$A$73:$A$81,0))&amp;"-")),1,0)</f>
        <v>1</v>
      </c>
      <c r="F108" s="21" t="n">
        <f aca="false">IF(ISNUMBER(SEARCH("-"&amp;$A108&amp;"-","-"&amp;INDEX($H$73:$H$81,MATCH(F$99,$A$73:$A$81,0))&amp;"-")),1,0)</f>
        <v>0</v>
      </c>
      <c r="G108" s="21" t="n">
        <f aca="false">IF(ISNUMBER(SEARCH("-"&amp;$A108&amp;"-","-"&amp;INDEX($H$73:$H$81,MATCH(G$99,$A$73:$A$81,0))&amp;"-")),1,0)</f>
        <v>0</v>
      </c>
      <c r="H108" s="21" t="n">
        <f aca="false">IF(ISNUMBER(SEARCH("-"&amp;$A108&amp;"-","-"&amp;INDEX($H$73:$H$81,MATCH(H$99,$A$73:$A$81,0))&amp;"-")),1,0)</f>
        <v>0</v>
      </c>
      <c r="I108" s="21" t="n">
        <f aca="false">IF(ISNUMBER(SEARCH("-"&amp;$A108&amp;"-","-"&amp;INDEX($H$73:$H$81,MATCH(I$99,$A$73:$A$81,0))&amp;"-")),1,0)</f>
        <v>0</v>
      </c>
      <c r="J108" s="21" t="n">
        <f aca="false">IF(ISNUMBER(SEARCH("-"&amp;$A108&amp;"-","-"&amp;INDEX($H$73:$H$81,MATCH(J$99,$A$73:$A$81,0))&amp;"-")),1,0)</f>
        <v>0</v>
      </c>
      <c r="K108" s="21" t="n">
        <f aca="false">IF(ISNUMBER(SEARCH("-"&amp;$A108&amp;"-","-"&amp;INDEX($H$73:$H$81,MATCH(K$99,$A$73:$A$81,0))&amp;"-")),1,0)</f>
        <v>0</v>
      </c>
      <c r="L108" s="21" t="n">
        <f aca="false">IF(ISNUMBER(SEARCH("-"&amp;$A108&amp;"-","-"&amp;INDEX($H$73:$H$81,MATCH(L$99,$A$73:$A$81,0))&amp;"-")),1,0)</f>
        <v>1</v>
      </c>
      <c r="M108" s="21" t="n">
        <f aca="false">IF(ISNUMBER(SEARCH("-"&amp;$A108&amp;"-","-"&amp;INDEX($H$73:$H$81,MATCH(M$99,$A$73:$A$81,0))&amp;"-")),1,0)</f>
        <v>0</v>
      </c>
      <c r="N108" s="6" t="n">
        <f aca="false">SUM(E108:M108)</f>
        <v>2</v>
      </c>
      <c r="O108" s="6" t="str">
        <f aca="false">IF(N108&gt;0,"Covered","NOT covered")</f>
        <v>Covered</v>
      </c>
    </row>
    <row r="109" customFormat="false" ht="15" hidden="false" customHeight="true" outlineLevel="0" collapsed="false">
      <c r="A109" s="6" t="n">
        <f aca="false">A45</f>
        <v>10</v>
      </c>
      <c r="B109" s="6" t="str">
        <f aca="false">C45</f>
        <v>Exit</v>
      </c>
      <c r="C109" s="22"/>
      <c r="D109" s="22"/>
      <c r="E109" s="21" t="n">
        <f aca="false">IF(ISNUMBER(SEARCH("-"&amp;$A109&amp;"-","-"&amp;INDEX($H$73:$H$81,MATCH(E$99,$A$73:$A$81,0))&amp;"-")),1,0)</f>
        <v>1</v>
      </c>
      <c r="F109" s="21" t="n">
        <f aca="false">IF(ISNUMBER(SEARCH("-"&amp;$A109&amp;"-","-"&amp;INDEX($H$73:$H$81,MATCH(F$99,$A$73:$A$81,0))&amp;"-")),1,0)</f>
        <v>1</v>
      </c>
      <c r="G109" s="21" t="n">
        <f aca="false">IF(ISNUMBER(SEARCH("-"&amp;$A109&amp;"-","-"&amp;INDEX($H$73:$H$81,MATCH(G$99,$A$73:$A$81,0))&amp;"-")),1,0)</f>
        <v>1</v>
      </c>
      <c r="H109" s="21" t="n">
        <f aca="false">IF(ISNUMBER(SEARCH("-"&amp;$A109&amp;"-","-"&amp;INDEX($H$73:$H$81,MATCH(H$99,$A$73:$A$81,0))&amp;"-")),1,0)</f>
        <v>1</v>
      </c>
      <c r="I109" s="21" t="n">
        <f aca="false">IF(ISNUMBER(SEARCH("-"&amp;$A109&amp;"-","-"&amp;INDEX($H$73:$H$81,MATCH(I$99,$A$73:$A$81,0))&amp;"-")),1,0)</f>
        <v>1</v>
      </c>
      <c r="J109" s="21" t="n">
        <f aca="false">IF(ISNUMBER(SEARCH("-"&amp;$A109&amp;"-","-"&amp;INDEX($H$73:$H$81,MATCH(J$99,$A$73:$A$81,0))&amp;"-")),1,0)</f>
        <v>1</v>
      </c>
      <c r="K109" s="21" t="n">
        <f aca="false">IF(ISNUMBER(SEARCH("-"&amp;$A109&amp;"-","-"&amp;INDEX($H$73:$H$81,MATCH(K$99,$A$73:$A$81,0))&amp;"-")),1,0)</f>
        <v>1</v>
      </c>
      <c r="L109" s="21" t="n">
        <f aca="false">IF(ISNUMBER(SEARCH("-"&amp;$A109&amp;"-","-"&amp;INDEX($H$73:$H$81,MATCH(L$99,$A$73:$A$81,0))&amp;"-")),1,0)</f>
        <v>1</v>
      </c>
      <c r="M109" s="21" t="n">
        <f aca="false">IF(ISNUMBER(SEARCH("-"&amp;$A109&amp;"-","-"&amp;INDEX($H$73:$H$81,MATCH(M$99,$A$73:$A$81,0))&amp;"-")),1,0)</f>
        <v>1</v>
      </c>
      <c r="N109" s="6" t="n">
        <f aca="false">SUM(E109:M109)</f>
        <v>9</v>
      </c>
      <c r="O109" s="6" t="str">
        <f aca="false">IF(N109&gt;0,"Covered","NOT covered")</f>
        <v>Covered</v>
      </c>
    </row>
    <row r="111" customFormat="false" ht="15" hidden="false" customHeight="true" outlineLevel="0" collapsed="false">
      <c r="A111" s="3" t="s">
        <v>194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customFormat="false" ht="15" hidden="false" customHeight="true" outlineLevel="0" collapsed="false">
      <c r="A112" s="7" t="s">
        <v>195</v>
      </c>
      <c r="B112" s="7"/>
      <c r="C112" s="7"/>
      <c r="D112" s="23" t="n">
        <f aca="false">COUNTIF(O100:O109,"Covered")/COUNTA(A100:A109)</f>
        <v>1</v>
      </c>
    </row>
    <row r="113" customFormat="false" ht="15" hidden="false" customHeight="true" outlineLevel="0" collapsed="false">
      <c r="A113" s="7" t="s">
        <v>196</v>
      </c>
      <c r="B113" s="7"/>
      <c r="C113" s="7"/>
      <c r="D113" s="23" t="n">
        <f aca="false">(COUNTIFS(D85:D97,"T",O85:O97,"Covered")+COUNTIFS(D85:D97,"F",O85:O97,"Covered"))/(COUNTIF(D85:D97,"T")+COUNTIF(D85:D97,"F"))</f>
        <v>1</v>
      </c>
    </row>
    <row r="114" customFormat="false" ht="15" hidden="false" customHeight="true" outlineLevel="0" collapsed="false">
      <c r="A114" s="7" t="s">
        <v>197</v>
      </c>
      <c r="B114" s="7"/>
      <c r="C114" s="7"/>
      <c r="D114" s="23" t="n">
        <f aca="false">COUNTIF(O85:O97,"Covered")/COUNTA(A85:A97)</f>
        <v>1</v>
      </c>
    </row>
    <row r="115" customFormat="false" ht="15" hidden="false" customHeight="true" outlineLevel="0" collapsed="false">
      <c r="A115" s="7" t="s">
        <v>198</v>
      </c>
      <c r="B115" s="7"/>
      <c r="C115" s="7"/>
      <c r="D115" s="11" t="str">
        <f aca="false">COUNTIF(G73:G81,"Pass")&amp;" / "&amp;COUNTA(A73:A81)</f>
        <v>9 / 9</v>
      </c>
    </row>
  </sheetData>
  <mergeCells count="45">
    <mergeCell ref="A4:E4"/>
    <mergeCell ref="A5:E5"/>
    <mergeCell ref="A6:E6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E62:J62"/>
    <mergeCell ref="K62:N62"/>
    <mergeCell ref="E63:J63"/>
    <mergeCell ref="K63:N63"/>
    <mergeCell ref="E64:J64"/>
    <mergeCell ref="K64:N64"/>
    <mergeCell ref="E65:J65"/>
    <mergeCell ref="K65:N65"/>
    <mergeCell ref="E66:J66"/>
    <mergeCell ref="K66:N66"/>
    <mergeCell ref="E67:J67"/>
    <mergeCell ref="K67:N67"/>
    <mergeCell ref="A68:C68"/>
    <mergeCell ref="A69:C69"/>
    <mergeCell ref="H72:L72"/>
    <mergeCell ref="H73:L73"/>
    <mergeCell ref="H74:L74"/>
    <mergeCell ref="H75:L75"/>
    <mergeCell ref="H76:L76"/>
    <mergeCell ref="H77:L77"/>
    <mergeCell ref="H78:L78"/>
    <mergeCell ref="H79:L79"/>
    <mergeCell ref="H80:L80"/>
    <mergeCell ref="H81:L81"/>
    <mergeCell ref="A112:C112"/>
    <mergeCell ref="A113:C113"/>
    <mergeCell ref="A114:C114"/>
    <mergeCell ref="A115:C115"/>
  </mergeCells>
  <conditionalFormatting sqref="G73:G8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E85:M97">
    <cfRule type="cellIs" priority="4" operator="equal" aboveAverage="0" equalAverage="0" bottom="0" percent="0" rank="0" text="" dxfId="0">
      <formula>1</formula>
    </cfRule>
  </conditionalFormatting>
  <conditionalFormatting sqref="E100:M109">
    <cfRule type="cellIs" priority="5" operator="equal" aboveAverage="0" equalAverage="0" bottom="0" percent="0" rank="0" text="" dxfId="0">
      <formula>1</formula>
    </cfRule>
  </conditionalFormatting>
  <conditionalFormatting sqref="O85:O97">
    <cfRule type="cellIs" priority="6" operator="equal" aboveAverage="0" equalAverage="0" bottom="0" percent="0" rank="0" text="" dxfId="1">
      <formula>"NOT covered"</formula>
    </cfRule>
  </conditionalFormatting>
  <conditionalFormatting sqref="O100:O109">
    <cfRule type="cellIs" priority="7" operator="equal" aboveAverage="0" equalAverage="0" bottom="0" percent="0" rank="0" text="" dxfId="1">
      <formula>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2026-10-29T13:15:45Z</dcterms:created>
  <dc:creator>openpyxl</dc:creator>
  <dc:description/>
  <dc:language>en-US</dc:language>
  <cp:lastModifiedBy/>
  <dcterms:modified xsi:type="dcterms:W3CDTF">2026-10-29T13:15:45Z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